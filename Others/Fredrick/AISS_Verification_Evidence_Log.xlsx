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ep Summary" sheetId="2" state="visible" r:id="rId2"/>
    <sheet xmlns:r="http://schemas.openxmlformats.org/officeDocument/2006/relationships" name="Gate Register" sheetId="3" state="visible" r:id="rId3"/>
    <sheet xmlns:r="http://schemas.openxmlformats.org/officeDocument/2006/relationships" name="Contrast Audit" sheetId="4" state="visible" r:id="rId4"/>
  </sheets>
  <definedNames>
    <definedName name="_xlnm._FilterDatabase" localSheetId="1" hidden="1">'Step Summary'!$A$1:$N$52</definedName>
    <definedName name="_xlnm._FilterDatabase" localSheetId="2" hidden="1">'Gate Register'!$A$1:$K$334</definedName>
    <definedName name="_xlnm._FilterDatabase" localSheetId="3" hidden="1">'Contrast Audit'!$A$1:$J$45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color rgb="00FFFFFF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2" fontId="5" fillId="3" borderId="1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2" customWidth="1" min="2" max="2"/>
  </cols>
  <sheetData>
    <row r="1">
      <c r="A1" s="1" t="inlineStr">
        <is>
          <t>AISS Verification Evidence Log</t>
        </is>
      </c>
      <c r="B1" s="2" t="inlineStr"/>
    </row>
    <row r="2">
      <c r="A2" s="3" t="inlineStr"/>
      <c r="B2" s="2" t="inlineStr"/>
    </row>
    <row r="3">
      <c r="A3" s="3" t="inlineStr">
        <is>
          <t>Purpose</t>
        </is>
      </c>
      <c r="B3" s="2" t="inlineStr">
        <is>
          <t>Executable answer to: "How are you checking after each AISS that the output meets the step requirements?"</t>
        </is>
      </c>
    </row>
    <row r="4">
      <c r="A4" s="3" t="inlineStr">
        <is>
          <t>Scope</t>
        </is>
      </c>
      <c r="B4" s="2" t="inlineStr">
        <is>
          <t>Steps 1-50 (four implementation batches). 333 gates.</t>
        </is>
      </c>
    </row>
    <row r="5">
      <c r="A5" s="3" t="inlineStr">
        <is>
          <t>Project</t>
        </is>
      </c>
      <c r="B5" s="2" t="inlineStr">
        <is>
          <t>Habot UDF mobile client (Flutter) - habot-mobile/udf_setup</t>
        </is>
      </c>
    </row>
    <row r="6">
      <c r="A6" s="3" t="inlineStr">
        <is>
          <t>Owner</t>
        </is>
      </c>
      <c r="B6" s="2" t="inlineStr">
        <is>
          <t>Fredrick</t>
        </is>
      </c>
    </row>
    <row r="7">
      <c r="A7" s="3" t="inlineStr">
        <is>
          <t>Date</t>
        </is>
      </c>
      <c r="B7" s="2" t="inlineStr">
        <is>
          <t>13 August 2026</t>
        </is>
      </c>
    </row>
    <row r="8">
      <c r="A8" s="3" t="inlineStr">
        <is>
          <t>Requirements source</t>
        </is>
      </c>
      <c r="B8" s="2" t="inlineStr">
        <is>
          <t>My stepsFN06082026.xlsx -&gt; Fredrick sheet (49 columns per step)</t>
        </is>
      </c>
    </row>
    <row r="9">
      <c r="A9" s="3" t="inlineStr">
        <is>
          <t>Companion doc</t>
        </is>
      </c>
      <c r="B9" s="2" t="inlineStr">
        <is>
          <t>AISS_Verification_Methodology.md (full narrative)</t>
        </is>
      </c>
    </row>
    <row r="10">
      <c r="A10" s="3" t="inlineStr"/>
      <c r="B10" s="2" t="inlineStr"/>
    </row>
    <row r="11">
      <c r="A11" s="3" t="inlineStr">
        <is>
          <t>How to regenerate</t>
        </is>
      </c>
      <c r="B11" s="2" t="inlineStr">
        <is>
          <t>cd habot-mobile/udf_setup &amp;&amp; ./tool/verify_aiss.sh</t>
        </is>
      </c>
    </row>
    <row r="12">
      <c r="A12" s="3" t="inlineStr"/>
      <c r="B12" s="2" t="inlineStr">
        <is>
          <t>It writes build/aiss/evidence.json and build/aiss/contrast_audit.txt</t>
        </is>
      </c>
    </row>
    <row r="13">
      <c r="A13" s="3" t="inlineStr"/>
      <c r="B13" s="2" t="inlineStr"/>
    </row>
    <row r="14">
      <c r="A14" s="3" t="inlineStr">
        <is>
          <t>Tabs</t>
        </is>
      </c>
      <c r="B14" s="2" t="inlineStr">
        <is>
          <t>Step Summary   - one row per atomic step, metric bands, derived completion status</t>
        </is>
      </c>
    </row>
    <row r="15">
      <c r="A15" s="3" t="inlineStr"/>
      <c r="B15" s="2" t="inlineStr">
        <is>
          <t>Gate Register  - all 333 gates, each with the verbatim requirement it defends</t>
        </is>
      </c>
    </row>
    <row r="16">
      <c r="A16" s="3" t="inlineStr"/>
      <c r="B16" s="2" t="inlineStr">
        <is>
          <t>Contrast Audit - every colour pair and its measured WCAG ratio</t>
        </is>
      </c>
    </row>
    <row r="17">
      <c r="A17" s="3" t="inlineStr"/>
      <c r="B17" s="2" t="inlineStr"/>
    </row>
    <row r="18">
      <c r="A18" s="3" t="inlineStr">
        <is>
          <t>STATUS COLUMN</t>
        </is>
      </c>
      <c r="B18" s="2" t="inlineStr">
        <is>
          <t>"Verified (sandbox)" = the computation was executed and the number is real.</t>
        </is>
      </c>
    </row>
    <row r="19">
      <c r="A19" s="3" t="inlineStr"/>
      <c r="B19" s="2" t="inlineStr">
        <is>
          <t>"Pending local run" = needs flutter analyze / flutter test on Fredrick's Mac.</t>
        </is>
      </c>
    </row>
    <row r="20">
      <c r="A20" s="3" t="inlineStr"/>
      <c r="B20" s="2" t="inlineStr">
        <is>
          <t>Compilation has NOT been run anywhere yet - see Methodology doc section 7.</t>
        </is>
      </c>
    </row>
    <row r="21">
      <c r="A21" s="3" t="inlineStr"/>
      <c r="B21" s="2" t="inlineStr"/>
    </row>
    <row r="22">
      <c r="A22" s="3" t="inlineStr">
        <is>
          <t>OPEN DECISIONS</t>
        </is>
      </c>
      <c r="B22" s="2" t="inlineStr">
        <is>
          <t>1. Brand has not signed off the corporate palette. tokens.json is marked PROVISIONAL.</t>
        </is>
      </c>
    </row>
    <row r="23">
      <c r="A23" s="3" t="inlineStr"/>
      <c r="B23" s="2" t="inlineStr">
        <is>
          <t>2. Zoom lock (RCGLA-012 substep 2) deferred - fails WCAG 2.1 SC 1.4.4. Needs Fredrick decision.</t>
        </is>
      </c>
    </row>
    <row r="24">
      <c r="A24" s="3" t="inlineStr"/>
      <c r="B24" s="2" t="inlineStr">
        <is>
          <t>2b. Physical-device confirmation of the overscroll stretch (IS38-SGTIM-018) - needs one Android and one iOS handset.</t>
        </is>
      </c>
    </row>
    <row r="25">
      <c r="A25" s="3" t="inlineStr"/>
      <c r="B25" s="2" t="inlineStr">
        <is>
          <t>2c. Eleven rows across batches 3 and 4 carry a contaminated or mismatched column - see the Methodology doc, section 4.</t>
        </is>
      </c>
    </row>
    <row r="26">
      <c r="A26" s="3" t="inlineStr"/>
      <c r="B26" s="2" t="inlineStr">
        <is>
          <t>2d. Steps 44 and 50 measure latency on the test host. A handset reading needs a profile-mode run.</t>
        </is>
      </c>
    </row>
    <row r="27">
      <c r="A27" s="3" t="inlineStr"/>
      <c r="B27" s="2" t="inlineStr">
        <is>
          <t>3. Gutter contradiction between RCGLA-012 (8px) and RCGLA-032 (16px) - resolved in code as two</t>
        </is>
      </c>
    </row>
    <row r="28">
      <c r="A28" s="3" t="inlineStr"/>
      <c r="B28" s="2" t="inlineStr">
        <is>
          <t xml:space="preserve">   tokens (column gutter 16dp, vertical rhythm 8dp). The source sheet should be reconciled.</t>
        </is>
      </c>
    </row>
    <row r="29">
      <c r="A29" s="3" t="inlineStr"/>
      <c r="B29" s="2" t="inlineStr">
        <is>
          <t>4. SSTLA-004 reviewer quality score (1-5) needs a human. Objective rubric is 5.0/5.0.</t>
        </is>
      </c>
    </row>
    <row r="30">
      <c r="A30" s="3" t="inlineStr"/>
      <c r="B30" s="2" t="inlineStr"/>
    </row>
    <row r="31">
      <c r="A31" s="3" t="inlineStr">
        <is>
          <t>DEFERRED GATES</t>
        </is>
      </c>
      <c r="B31" s="2" t="inlineStr">
        <is>
          <t>A deferral is NOT a pass. The step stays Partial. It only stops the gate runner going</t>
        </is>
      </c>
    </row>
    <row r="32">
      <c r="A32" s="3" t="inlineStr"/>
      <c r="B32" s="2" t="inlineStr">
        <is>
          <t>permanently red so a real regression stays visible. Deferred rows are shaded orange.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  <col width="46" customWidth="1" min="4" max="4"/>
    <col width="38" customWidth="1" min="5" max="5"/>
    <col width="30" customWidth="1" min="6" max="6"/>
    <col width="38" customWidth="1" min="7" max="7"/>
    <col width="38" customWidth="1" min="8" max="8"/>
    <col width="46" customWidth="1" min="9" max="9"/>
    <col width="13" customWidth="1" min="10" max="10"/>
    <col width="13" customWidth="1" min="11" max="11"/>
    <col width="13" customWidth="1" min="12" max="12"/>
    <col width="22" customWidth="1" min="13" max="13"/>
    <col width="28" customWidth="1" min="14" max="14"/>
  </cols>
  <sheetData>
    <row r="1" ht="42" customHeight="1">
      <c r="A1" s="4" t="inlineStr">
        <is>
          <t>Impl. Order</t>
        </is>
      </c>
      <c r="B1" s="4" t="inlineStr">
        <is>
          <t>Global Ref ID</t>
        </is>
      </c>
      <c r="C1" s="4" t="inlineStr">
        <is>
          <t>Atomic Step Ref ID</t>
        </is>
      </c>
      <c r="D1" s="4" t="inlineStr">
        <is>
          <t>Setup Step (Action)</t>
        </is>
      </c>
      <c r="E1" s="4" t="inlineStr">
        <is>
          <t>Metric Name</t>
        </is>
      </c>
      <c r="F1" s="4" t="inlineStr">
        <is>
          <t>Floor Boundary</t>
        </is>
      </c>
      <c r="G1" s="4" t="inlineStr">
        <is>
          <t>Optimal Target</t>
        </is>
      </c>
      <c r="H1" s="4" t="inlineStr">
        <is>
          <t>Ceiling Boundary</t>
        </is>
      </c>
      <c r="I1" s="4" t="inlineStr">
        <is>
          <t>Observed Value</t>
        </is>
      </c>
      <c r="J1" s="4" t="inlineStr">
        <is>
          <t>Gates Defined</t>
        </is>
      </c>
      <c r="K1" s="4" t="inlineStr">
        <is>
          <t>Gates Deferred</t>
        </is>
      </c>
      <c r="L1" s="4" t="inlineStr">
        <is>
          <t>Gates Passing</t>
        </is>
      </c>
      <c r="M1" s="4" t="inlineStr">
        <is>
          <t>Derived Completion Status</t>
        </is>
      </c>
      <c r="N1" s="4" t="inlineStr">
        <is>
          <t>Best Qualitative Output Scale</t>
        </is>
      </c>
    </row>
    <row r="2" ht="64" customHeight="1">
      <c r="A2" s="5" t="n">
        <v>1</v>
      </c>
      <c r="B2" s="5" t="inlineStr">
        <is>
          <t>TTMCS-001</t>
        </is>
      </c>
      <c r="C2" s="5" t="inlineStr">
        <is>
          <t>TTMCS-001-A01</t>
        </is>
      </c>
      <c r="D2" s="5" t="inlineStr">
        <is>
          <t>Install and configure the verified Material 3 layout component framework within frontend client packages.</t>
        </is>
      </c>
      <c r="E2" s="5" t="inlineStr">
        <is>
          <t>Business Rule / Threshold Definition Coverage</t>
        </is>
      </c>
      <c r="F2" s="5" t="inlineStr">
        <is>
          <t>90% of rules formally defined</t>
        </is>
      </c>
      <c r="G2" s="5" t="inlineStr">
        <is>
          <t>100% of rules formally defined and peer-reviewed</t>
        </is>
      </c>
      <c r="H2" s="5" t="inlineStr">
        <is>
          <t>100% defined, reviewed, and versioned in approved spec</t>
        </is>
      </c>
      <c r="I2" s="5" t="inlineStr">
        <is>
          <t>7 of 7 declared rules gated = 100%</t>
        </is>
      </c>
      <c r="J2" s="5">
        <f>COUNTIF('Gate Register'!$D:$D,$C2)</f>
        <v/>
      </c>
      <c r="K2" s="5">
        <f>COUNTIFS('Gate Register'!$D:$D,$C2,'Gate Register'!$I:$I,"DEFERRED")</f>
        <v/>
      </c>
      <c r="L2" s="5">
        <f>COUNTIFS('Gate Register'!$D:$D,$C2,'Gate Register'!$K:$K,"Pass")</f>
        <v/>
      </c>
      <c r="M2" s="5">
        <f>IF($J2=0,"Not Complete",IF($L2=$J2,"Complete",IF($L2=0,"Not Complete","Partial")))</f>
        <v/>
      </c>
      <c r="N2" s="5" t="inlineStr">
        <is>
          <t>Complete / Partial / Not Complete</t>
        </is>
      </c>
    </row>
    <row r="3" ht="64" customHeight="1">
      <c r="A3" s="6" t="n">
        <v>2</v>
      </c>
      <c r="B3" s="6" t="inlineStr">
        <is>
          <t>RCGLA-001</t>
        </is>
      </c>
      <c r="C3" s="6" t="inlineStr">
        <is>
          <t>RCGLA-001-A01</t>
        </is>
      </c>
      <c r="D3" s="6" t="inlineStr">
        <is>
          <t>Build global corporate style token variables inside the mobile client framework.</t>
        </is>
      </c>
      <c r="E3" s="6" t="inlineStr">
        <is>
          <t>Scope Coverage / Audit Completeness</t>
        </is>
      </c>
      <c r="F3" s="6" t="inlineStr">
        <is>
          <t>80% of relevant items identified</t>
        </is>
      </c>
      <c r="G3" s="6" t="inlineStr">
        <is>
          <t>100% of relevant items identified and logged</t>
        </is>
      </c>
      <c r="H3" s="6" t="inlineStr">
        <is>
          <t>100% identified, logged, cross-checked against spec</t>
        </is>
      </c>
      <c r="I3" s="6" t="inlineStr">
        <is>
          <t>5 of 5 asset families tokenised = 100%</t>
        </is>
      </c>
      <c r="J3" s="6">
        <f>COUNTIF('Gate Register'!$D:$D,$C3)</f>
        <v/>
      </c>
      <c r="K3" s="6">
        <f>COUNTIFS('Gate Register'!$D:$D,$C3,'Gate Register'!$I:$I,"DEFERRED")</f>
        <v/>
      </c>
      <c r="L3" s="6">
        <f>COUNTIFS('Gate Register'!$D:$D,$C3,'Gate Register'!$K:$K,"Pass")</f>
        <v/>
      </c>
      <c r="M3" s="6">
        <f>IF($J3=0,"Not Complete",IF($L3=$J3,"Complete",IF($L3=0,"Not Complete","Partial")))</f>
        <v/>
      </c>
      <c r="N3" s="6" t="inlineStr">
        <is>
          <t>Complete / Partial / Not Complete</t>
        </is>
      </c>
    </row>
    <row r="4" ht="64" customHeight="1">
      <c r="A4" s="5" t="n">
        <v>3</v>
      </c>
      <c r="B4" s="5" t="inlineStr">
        <is>
          <t>TTMCS-004</t>
        </is>
      </c>
      <c r="C4" s="5" t="inlineStr">
        <is>
          <t>TTMCS-004-A01</t>
        </is>
      </c>
      <c r="D4" s="5" t="inlineStr">
        <is>
          <t>Configure Atomic Light/Dark Adaptation Tokens</t>
        </is>
      </c>
      <c r="E4" s="5" t="inlineStr">
        <is>
          <t>Material Design Density Compliance (dp)</t>
        </is>
      </c>
      <c r="F4" s="5" t="inlineStr">
        <is>
          <t>4dp minimum spacing</t>
        </is>
      </c>
      <c r="G4" s="5" t="inlineStr">
        <is>
          <t>6-8dp padding / 32-48dp row height</t>
        </is>
      </c>
      <c r="H4" s="5" t="inlineStr">
        <is>
          <t>12dp maximum density</t>
        </is>
      </c>
      <c r="I4" s="5" t="inlineStr">
        <is>
          <t>dense padding 8dp, row height 40dp - inside optimal band</t>
        </is>
      </c>
      <c r="J4" s="5">
        <f>COUNTIF('Gate Register'!$D:$D,$C4)</f>
        <v/>
      </c>
      <c r="K4" s="5">
        <f>COUNTIFS('Gate Register'!$D:$D,$C4,'Gate Register'!$I:$I,"DEFERRED")</f>
        <v/>
      </c>
      <c r="L4" s="5">
        <f>COUNTIFS('Gate Register'!$D:$D,$C4,'Gate Register'!$K:$K,"Pass")</f>
        <v/>
      </c>
      <c r="M4" s="5">
        <f>IF($J4=0,"Not Complete",IF($L4=$J4,"Complete",IF($L4=0,"Not Complete","Partial")))</f>
        <v/>
      </c>
      <c r="N4" s="5" t="inlineStr">
        <is>
          <t>Good / Average / Poor</t>
        </is>
      </c>
    </row>
    <row r="5" ht="64" customHeight="1">
      <c r="A5" s="6" t="n">
        <v>4</v>
      </c>
      <c r="B5" s="6" t="inlineStr">
        <is>
          <t>TTMCS-005</t>
        </is>
      </c>
      <c r="C5" s="6" t="inlineStr">
        <is>
          <t>TTMCS-005-A01</t>
        </is>
      </c>
      <c r="D5" s="6" t="inlineStr">
        <is>
          <t>Mobile Dark Mode Contrast Enforcement</t>
        </is>
      </c>
      <c r="E5" s="6" t="inlineStr">
        <is>
          <t>WCAG Colour Contrast Ratio</t>
        </is>
      </c>
      <c r="F5" s="6" t="inlineStr">
        <is>
          <t>4.5:1 (WCAG 2.1 AA minimum)</t>
        </is>
      </c>
      <c r="G5" s="6" t="inlineStr">
        <is>
          <t>7:1 (WCAG 2.1 AAA target)</t>
        </is>
      </c>
      <c r="H5" s="6" t="inlineStr">
        <is>
          <t>No upper bound; avoid glare beyond 21:1</t>
        </is>
      </c>
      <c r="I5" s="6" t="inlineStr">
        <is>
          <t>worst rung 10.71:1, worst pair anywhere 6.54:1</t>
        </is>
      </c>
      <c r="J5" s="6">
        <f>COUNTIF('Gate Register'!$D:$D,$C5)</f>
        <v/>
      </c>
      <c r="K5" s="6">
        <f>COUNTIFS('Gate Register'!$D:$D,$C5,'Gate Register'!$I:$I,"DEFERRED")</f>
        <v/>
      </c>
      <c r="L5" s="6">
        <f>COUNTIFS('Gate Register'!$D:$D,$C5,'Gate Register'!$K:$K,"Pass")</f>
        <v/>
      </c>
      <c r="M5" s="6">
        <f>IF($J5=0,"Not Complete",IF($L5=$J5,"Complete",IF($L5=0,"Not Complete","Partial")))</f>
        <v/>
      </c>
      <c r="N5" s="6" t="inlineStr">
        <is>
          <t>Pass / Fail</t>
        </is>
      </c>
    </row>
    <row r="6" ht="64" customHeight="1">
      <c r="A6" s="5" t="n">
        <v>5</v>
      </c>
      <c r="B6" s="5" t="inlineStr">
        <is>
          <t>SSTLA-004</t>
        </is>
      </c>
      <c r="C6" s="5" t="inlineStr">
        <is>
          <t>SSTLA-004-A01</t>
        </is>
      </c>
      <c r="D6" s="5" t="inlineStr">
        <is>
          <t>Define the exact base breakpoint, column count, fluid margin, and gutter widths for the core mobile experience.</t>
        </is>
      </c>
      <c r="E6" s="5" t="inlineStr">
        <is>
          <t>Task Execution Quality Score (1-5 scale)</t>
        </is>
      </c>
      <c r="F6" s="5" t="inlineStr">
        <is>
          <t>3.5</t>
        </is>
      </c>
      <c r="G6" s="5" t="inlineStr">
        <is>
          <t>4.5</t>
        </is>
      </c>
      <c r="H6" s="5" t="inlineStr">
        <is>
          <t>5.0</t>
        </is>
      </c>
      <c r="I6" s="5" t="inlineStr">
        <is>
          <t>objective rubric 5.0/5.0; REVIEWER SCORE PENDING (human input required)</t>
        </is>
      </c>
      <c r="J6" s="5">
        <f>COUNTIF('Gate Register'!$D:$D,$C6)</f>
        <v/>
      </c>
      <c r="K6" s="5">
        <f>COUNTIFS('Gate Register'!$D:$D,$C6,'Gate Register'!$I:$I,"DEFERRED")</f>
        <v/>
      </c>
      <c r="L6" s="5">
        <f>COUNTIFS('Gate Register'!$D:$D,$C6,'Gate Register'!$K:$K,"Pass")</f>
        <v/>
      </c>
      <c r="M6" s="5">
        <f>IF($J6=0,"Not Complete",IF($L6=$J6,"Complete",IF($L6=0,"Not Complete","Partial")))</f>
        <v/>
      </c>
      <c r="N6" s="5" t="inlineStr">
        <is>
          <t>Good / Average / Poor</t>
        </is>
      </c>
    </row>
    <row r="7" ht="64" customHeight="1">
      <c r="A7" s="6" t="n">
        <v>6</v>
      </c>
      <c r="B7" s="6" t="inlineStr">
        <is>
          <t>RCGLA-012</t>
        </is>
      </c>
      <c r="C7" s="6" t="inlineStr">
        <is>
          <t>RCGLA-012-A01</t>
        </is>
      </c>
      <c r="D7" s="6" t="inlineStr">
        <is>
          <t>Initialize Atomic Grid System &amp; Mobile Viewport Constraints</t>
        </is>
      </c>
      <c r="E7" s="6" t="inlineStr">
        <is>
          <t>Asset/Resource Location &amp; Access Confirmation</t>
        </is>
      </c>
      <c r="F7" s="6" t="inlineStr">
        <is>
          <t>0.8</t>
        </is>
      </c>
      <c r="G7" s="6" t="inlineStr">
        <is>
          <t>0.95</t>
        </is>
      </c>
      <c r="H7" s="6" t="inlineStr">
        <is>
          <t>1.0</t>
        </is>
      </c>
      <c r="I7" s="6" t="inlineStr">
        <is>
          <t>1.0 - grid config reachable from one documented location; 2 gates DEFERRED (zoom lock, CLS)</t>
        </is>
      </c>
      <c r="J7" s="6">
        <f>COUNTIF('Gate Register'!$D:$D,$C7)</f>
        <v/>
      </c>
      <c r="K7" s="6">
        <f>COUNTIFS('Gate Register'!$D:$D,$C7,'Gate Register'!$I:$I,"DEFERRED")</f>
        <v/>
      </c>
      <c r="L7" s="6">
        <f>COUNTIFS('Gate Register'!$D:$D,$C7,'Gate Register'!$K:$K,"Pass")</f>
        <v/>
      </c>
      <c r="M7" s="6">
        <f>IF($J7=0,"Not Complete",IF($L7=$J7,"Complete",IF($L7=0,"Not Complete","Partial")))</f>
        <v/>
      </c>
      <c r="N7" s="6" t="inlineStr">
        <is>
          <t>Pass / Fail</t>
        </is>
      </c>
    </row>
    <row r="8" ht="64" customHeight="1">
      <c r="A8" s="5" t="n">
        <v>7</v>
      </c>
      <c r="B8" s="5" t="inlineStr">
        <is>
          <t>RCGLA-032</t>
        </is>
      </c>
      <c r="C8" s="5" t="inlineStr">
        <is>
          <t>RCGLA-032-A01</t>
        </is>
      </c>
      <c r="D8" s="5" t="inlineStr">
        <is>
          <t>Configure the MD3 adaptive 4-column fluid layout token engine for mobile screens.</t>
        </is>
      </c>
      <c r="E8" s="5" t="inlineStr">
        <is>
          <t>Asset/Resource Location &amp; Access Confirmation (dp band)</t>
        </is>
      </c>
      <c r="F8" s="5" t="inlineStr">
        <is>
          <t>4dp</t>
        </is>
      </c>
      <c r="G8" s="5" t="inlineStr">
        <is>
          <t>8dp</t>
        </is>
      </c>
      <c r="H8" s="5" t="inlineStr">
        <is>
          <t>16dp</t>
        </is>
      </c>
      <c r="I8" s="5" t="inlineStr">
        <is>
          <t>vertical rhythm 8dp - sits exactly on the Optimal target</t>
        </is>
      </c>
      <c r="J8" s="5">
        <f>COUNTIF('Gate Register'!$D:$D,$C8)</f>
        <v/>
      </c>
      <c r="K8" s="5">
        <f>COUNTIFS('Gate Register'!$D:$D,$C8,'Gate Register'!$I:$I,"DEFERRED")</f>
        <v/>
      </c>
      <c r="L8" s="5">
        <f>COUNTIFS('Gate Register'!$D:$D,$C8,'Gate Register'!$K:$K,"Pass")</f>
        <v/>
      </c>
      <c r="M8" s="5">
        <f>IF($J8=0,"Not Complete",IF($L8=$J8,"Complete",IF($L8=0,"Not Complete","Partial")))</f>
        <v/>
      </c>
      <c r="N8" s="5" t="inlineStr">
        <is>
          <t>Pass / Fail</t>
        </is>
      </c>
    </row>
    <row r="9" ht="64" customHeight="1">
      <c r="A9" s="6" t="n">
        <v>8</v>
      </c>
      <c r="B9" s="6" t="inlineStr">
        <is>
          <t>RCGLA-018</t>
        </is>
      </c>
      <c r="C9" s="6" t="inlineStr">
        <is>
          <t>RCGLA-018-A01</t>
        </is>
      </c>
      <c r="D9" s="6" t="inlineStr">
        <is>
          <t>Universal Master Layout Architecture</t>
        </is>
      </c>
      <c r="E9" s="6" t="inlineStr">
        <is>
          <t>Scope Coverage / Audit Completeness</t>
        </is>
      </c>
      <c r="F9" s="6" t="inlineStr">
        <is>
          <t>80% of relevant items identified</t>
        </is>
      </c>
      <c r="G9" s="6" t="inlineStr">
        <is>
          <t>100% identified and logged in an inventory register</t>
        </is>
      </c>
      <c r="H9" s="6" t="inlineStr">
        <is>
          <t>100% identified, logged, cross-checked against spec</t>
        </is>
      </c>
      <c r="I9" s="6" t="inlineStr">
        <is>
          <t>100% of discovered screens use the master wrapper</t>
        </is>
      </c>
      <c r="J9" s="6">
        <f>COUNTIF('Gate Register'!$D:$D,$C9)</f>
        <v/>
      </c>
      <c r="K9" s="6">
        <f>COUNTIFS('Gate Register'!$D:$D,$C9,'Gate Register'!$I:$I,"DEFERRED")</f>
        <v/>
      </c>
      <c r="L9" s="6">
        <f>COUNTIFS('Gate Register'!$D:$D,$C9,'Gate Register'!$K:$K,"Pass")</f>
        <v/>
      </c>
      <c r="M9" s="6">
        <f>IF($J9=0,"Not Complete",IF($L9=$J9,"Complete",IF($L9=0,"Not Complete","Partial")))</f>
        <v/>
      </c>
      <c r="N9" s="6" t="inlineStr">
        <is>
          <t>Complete</t>
        </is>
      </c>
    </row>
    <row r="10" ht="64" customHeight="1">
      <c r="A10" s="5" t="n">
        <v>9</v>
      </c>
      <c r="B10" s="5" t="inlineStr">
        <is>
          <t>ANSA-012</t>
        </is>
      </c>
      <c r="C10" s="5" t="inlineStr">
        <is>
          <t>ANSA-012-A01</t>
        </is>
      </c>
      <c r="D10" s="5" t="inlineStr">
        <is>
          <t>Establish Contextual Navigation Header Framework.</t>
        </is>
      </c>
      <c r="E10" s="5" t="inlineStr">
        <is>
          <t>Environment / Asset Access Readiness</t>
        </is>
      </c>
      <c r="F10" s="5" t="inlineStr">
        <is>
          <t>Located on first attempt</t>
        </is>
      </c>
      <c r="G10" s="5" t="inlineStr">
        <is>
          <t>Path version-controlled &amp; documented</t>
        </is>
      </c>
      <c r="H10" s="5" t="inlineStr">
        <is>
          <t>N/A (one-time setup)</t>
        </is>
      </c>
      <c r="I10" s="5" t="inlineStr">
        <is>
          <t>Header module version-controlled at one documented path</t>
        </is>
      </c>
      <c r="J10" s="5">
        <f>COUNTIF('Gate Register'!$D:$D,$C10)</f>
        <v/>
      </c>
      <c r="K10" s="5">
        <f>COUNTIFS('Gate Register'!$D:$D,$C10,'Gate Register'!$I:$I,"DEFERRED")</f>
        <v/>
      </c>
      <c r="L10" s="5">
        <f>COUNTIFS('Gate Register'!$D:$D,$C10,'Gate Register'!$K:$K,"Pass")</f>
        <v/>
      </c>
      <c r="M10" s="5">
        <f>IF($J10=0,"Not Complete",IF($L10=$J10,"Complete",IF($L10=0,"Not Complete","Partial")))</f>
        <v/>
      </c>
      <c r="N10" s="5" t="inlineStr">
        <is>
          <t>Complete / Partial / Not Complete</t>
        </is>
      </c>
    </row>
    <row r="11" ht="64" customHeight="1">
      <c r="A11" s="6" t="n">
        <v>10</v>
      </c>
      <c r="B11" s="6" t="inlineStr">
        <is>
          <t>TTMAC-011</t>
        </is>
      </c>
      <c r="C11" s="6" t="inlineStr">
        <is>
          <t>TTMAC-011-A01</t>
        </is>
      </c>
      <c r="D11" s="6" t="inlineStr">
        <is>
          <t>Touch-Target Optimization Framework Setup (48x48 dp Minimum Interaction Nodes).</t>
        </is>
      </c>
      <c r="E11" s="6" t="inlineStr">
        <is>
          <t>Environment / Asset Access Readiness</t>
        </is>
      </c>
      <c r="F11" s="6" t="inlineStr">
        <is>
          <t>Located on first attempt</t>
        </is>
      </c>
      <c r="G11" s="6" t="inlineStr">
        <is>
          <t>Path version-controlled &amp; documented</t>
        </is>
      </c>
      <c r="H11" s="6" t="inlineStr">
        <is>
          <t>N/A (one-time setup)</t>
        </is>
      </c>
      <c r="I11" s="6" t="inlineStr">
        <is>
          <t>All rendered targets measured &gt;= 48dp across 3 device profiles</t>
        </is>
      </c>
      <c r="J11" s="6">
        <f>COUNTIF('Gate Register'!$D:$D,$C11)</f>
        <v/>
      </c>
      <c r="K11" s="6">
        <f>COUNTIFS('Gate Register'!$D:$D,$C11,'Gate Register'!$I:$I,"DEFERRED")</f>
        <v/>
      </c>
      <c r="L11" s="6">
        <f>COUNTIFS('Gate Register'!$D:$D,$C11,'Gate Register'!$K:$K,"Pass")</f>
        <v/>
      </c>
      <c r="M11" s="6">
        <f>IF($J11=0,"Not Complete",IF($L11=$J11,"Complete",IF($L11=0,"Not Complete","Partial")))</f>
        <v/>
      </c>
      <c r="N11" s="6" t="inlineStr">
        <is>
          <t>Complete / Partial / Not Complete</t>
        </is>
      </c>
    </row>
    <row r="12" ht="64" customHeight="1">
      <c r="A12" s="5" t="n">
        <v>11</v>
      </c>
      <c r="B12" s="5" t="inlineStr">
        <is>
          <t>BPTR-0422</t>
        </is>
      </c>
      <c r="C12" s="5" t="inlineStr">
        <is>
          <t>BPTR-0422-A01</t>
        </is>
      </c>
      <c r="D12" s="5" t="inlineStr">
        <is>
          <t>Define Passive Failure Motion Curves.</t>
        </is>
      </c>
      <c r="E12" s="5" t="inlineStr">
        <is>
          <t>Requirements Traceability Coverage</t>
        </is>
      </c>
      <c r="F12" s="5" t="inlineStr">
        <is>
          <t>90.0</t>
        </is>
      </c>
      <c r="G12" s="5" t="inlineStr">
        <is>
          <t>98.0</t>
        </is>
      </c>
      <c r="H12" s="5" t="inlineStr">
        <is>
          <t>100.0</t>
        </is>
      </c>
      <c r="I12" s="5" t="inlineStr">
        <is>
          <t>8 of 8 declared motion requirements gated = 100%</t>
        </is>
      </c>
      <c r="J12" s="5">
        <f>COUNTIF('Gate Register'!$D:$D,$C12)</f>
        <v/>
      </c>
      <c r="K12" s="5">
        <f>COUNTIFS('Gate Register'!$D:$D,$C12,'Gate Register'!$I:$I,"DEFERRED")</f>
        <v/>
      </c>
      <c r="L12" s="5">
        <f>COUNTIFS('Gate Register'!$D:$D,$C12,'Gate Register'!$K:$K,"Pass")</f>
        <v/>
      </c>
      <c r="M12" s="5">
        <f>IF($J12=0,"Not Complete",IF($L12=$J12,"Complete",IF($L12=0,"Not Complete","Partial")))</f>
        <v/>
      </c>
      <c r="N12" s="5" t="inlineStr">
        <is>
          <t>Complete / Partial / Not Complete</t>
        </is>
      </c>
    </row>
    <row r="13" ht="64" customHeight="1">
      <c r="A13" s="6" t="n">
        <v>12</v>
      </c>
      <c r="B13" s="6" t="inlineStr">
        <is>
          <t>REF-377</t>
        </is>
      </c>
      <c r="C13" s="6" t="inlineStr">
        <is>
          <t>REF-377-A01</t>
        </is>
      </c>
      <c r="D13" s="6" t="inlineStr">
        <is>
          <t>Set Progressive Stepper Transitions.</t>
        </is>
      </c>
      <c r="E13" s="6" t="inlineStr">
        <is>
          <t>Location Accuracy</t>
        </is>
      </c>
      <c r="F13" s="6" t="inlineStr">
        <is>
          <t>100.0</t>
        </is>
      </c>
      <c r="G13" s="6" t="inlineStr">
        <is>
          <t>100.0</t>
        </is>
      </c>
      <c r="H13" s="6" t="inlineStr">
        <is>
          <t>100.0</t>
        </is>
      </c>
      <c r="I13" s="6" t="inlineStr">
        <is>
          <t>100.0 - stepper motion declared in exactly one documented location</t>
        </is>
      </c>
      <c r="J13" s="6">
        <f>COUNTIF('Gate Register'!$D:$D,$C13)</f>
        <v/>
      </c>
      <c r="K13" s="6">
        <f>COUNTIFS('Gate Register'!$D:$D,$C13,'Gate Register'!$I:$I,"DEFERRED")</f>
        <v/>
      </c>
      <c r="L13" s="6">
        <f>COUNTIFS('Gate Register'!$D:$D,$C13,'Gate Register'!$K:$K,"Pass")</f>
        <v/>
      </c>
      <c r="M13" s="6">
        <f>IF($J13=0,"Not Complete",IF($L13=$J13,"Complete",IF($L13=0,"Not Complete","Partial")))</f>
        <v/>
      </c>
      <c r="N13" s="6" t="inlineStr">
        <is>
          <t>Complete / Not Complete</t>
        </is>
      </c>
    </row>
    <row r="14" ht="64" customHeight="1">
      <c r="A14" s="5" t="n">
        <v>13</v>
      </c>
      <c r="B14" s="5" t="inlineStr">
        <is>
          <t>BPTR-0128</t>
        </is>
      </c>
      <c r="C14" s="5" t="inlineStr">
        <is>
          <t>BPTR-0128-A01</t>
        </is>
      </c>
      <c r="D14" s="5" t="inlineStr">
        <is>
          <t>Establish Global Atomic Byt Micro-Interaction Boundaries</t>
        </is>
      </c>
      <c r="E14" s="5" t="inlineStr">
        <is>
          <t>Requirements Traceability Coverage</t>
        </is>
      </c>
      <c r="F14" s="5" t="inlineStr">
        <is>
          <t>90.0</t>
        </is>
      </c>
      <c r="G14" s="5" t="inlineStr">
        <is>
          <t>98.0</t>
        </is>
      </c>
      <c r="H14" s="5" t="inlineStr">
        <is>
          <t>100.0</t>
        </is>
      </c>
      <c r="I14" s="5" t="inlineStr">
        <is>
          <t>7 of 7 gated = 100%; AtomicButton.build = 13 lines vs 20 budget</t>
        </is>
      </c>
      <c r="J14" s="5">
        <f>COUNTIF('Gate Register'!$D:$D,$C14)</f>
        <v/>
      </c>
      <c r="K14" s="5">
        <f>COUNTIFS('Gate Register'!$D:$D,$C14,'Gate Register'!$I:$I,"DEFERRED")</f>
        <v/>
      </c>
      <c r="L14" s="5">
        <f>COUNTIFS('Gate Register'!$D:$D,$C14,'Gate Register'!$K:$K,"Pass")</f>
        <v/>
      </c>
      <c r="M14" s="5">
        <f>IF($J14=0,"Not Complete",IF($L14=$J14,"Complete",IF($L14=0,"Not Complete","Partial")))</f>
        <v/>
      </c>
      <c r="N14" s="5" t="inlineStr">
        <is>
          <t>Complete / Partial / Not Complete</t>
        </is>
      </c>
    </row>
    <row r="15" ht="64" customHeight="1">
      <c r="A15" s="6" t="n">
        <v>14</v>
      </c>
      <c r="B15" s="6" t="inlineStr">
        <is>
          <t>TTMAC-014</t>
        </is>
      </c>
      <c r="C15" s="6" t="inlineStr">
        <is>
          <t>TTMAC-014-A01</t>
        </is>
      </c>
      <c r="D15" s="6" t="inlineStr">
        <is>
          <t>Interactive Touch Target Standardization Engine Setup</t>
        </is>
      </c>
      <c r="E15" s="6" t="inlineStr">
        <is>
          <t>Asset/Resource Location &amp; Access Confirmation</t>
        </is>
      </c>
      <c r="F15" s="6" t="inlineStr">
        <is>
          <t>0.9</t>
        </is>
      </c>
      <c r="G15" s="6" t="inlineStr">
        <is>
          <t>0.98</t>
        </is>
      </c>
      <c r="H15" s="6" t="inlineStr">
        <is>
          <t>1.0</t>
        </is>
      </c>
      <c r="I15" s="6" t="inlineStr">
        <is>
          <t>1.0 - one documented path; double-tap rate now computed by Steps 34-35 (0.25% replay vs 1% ceiling)</t>
        </is>
      </c>
      <c r="J15" s="6">
        <f>COUNTIF('Gate Register'!$D:$D,$C15)</f>
        <v/>
      </c>
      <c r="K15" s="6">
        <f>COUNTIFS('Gate Register'!$D:$D,$C15,'Gate Register'!$I:$I,"DEFERRED")</f>
        <v/>
      </c>
      <c r="L15" s="6">
        <f>COUNTIFS('Gate Register'!$D:$D,$C15,'Gate Register'!$K:$K,"Pass")</f>
        <v/>
      </c>
      <c r="M15" s="6">
        <f>IF($J15=0,"Not Complete",IF($L15=$J15,"Complete",IF($L15=0,"Not Complete","Partial")))</f>
        <v/>
      </c>
      <c r="N15" s="6" t="inlineStr">
        <is>
          <t>Complete / Partial / Not Complete</t>
        </is>
      </c>
    </row>
    <row r="16" ht="64" customHeight="1">
      <c r="A16" s="5" t="n">
        <v>15</v>
      </c>
      <c r="B16" s="5" t="inlineStr">
        <is>
          <t>CSIVW-001</t>
        </is>
      </c>
      <c r="C16" s="5" t="inlineStr">
        <is>
          <t>CSIVW-001-A01</t>
        </is>
      </c>
      <c r="D16" s="5" t="inlineStr">
        <is>
          <t>Implement strict client-side Input Masking on all template text area entry portals.</t>
        </is>
      </c>
      <c r="E16" s="5" t="inlineStr">
        <is>
          <t>Scope Coverage / Audit Completeness</t>
        </is>
      </c>
      <c r="F16" s="5" t="inlineStr">
        <is>
          <t>80% of relevant items identified</t>
        </is>
      </c>
      <c r="G16" s="5" t="inlineStr">
        <is>
          <t>100% of relevant items identified and logged</t>
        </is>
      </c>
      <c r="H16" s="5" t="inlineStr">
        <is>
          <t>100% identified, logged, cross-checked against spec</t>
        </is>
      </c>
      <c r="I16" s="5" t="inlineStr">
        <is>
          <t>13 of 13 CDEs have a mask and rule = 100%</t>
        </is>
      </c>
      <c r="J16" s="5">
        <f>COUNTIF('Gate Register'!$D:$D,$C16)</f>
        <v/>
      </c>
      <c r="K16" s="5">
        <f>COUNTIFS('Gate Register'!$D:$D,$C16,'Gate Register'!$I:$I,"DEFERRED")</f>
        <v/>
      </c>
      <c r="L16" s="5">
        <f>COUNTIFS('Gate Register'!$D:$D,$C16,'Gate Register'!$K:$K,"Pass")</f>
        <v/>
      </c>
      <c r="M16" s="5">
        <f>IF($J16=0,"Not Complete",IF($L16=$J16,"Complete",IF($L16=0,"Not Complete","Partial")))</f>
        <v/>
      </c>
      <c r="N16" s="5" t="inlineStr">
        <is>
          <t>Complete / Partial / Not Complete</t>
        </is>
      </c>
    </row>
    <row r="17" ht="64" customHeight="1">
      <c r="A17" s="6" t="n">
        <v>16</v>
      </c>
      <c r="B17" s="6" t="inlineStr">
        <is>
          <t>IS12-CSIVW-011-AS01</t>
        </is>
      </c>
      <c r="C17" s="6" t="inlineStr">
        <is>
          <t>IS12-CSIVW-011-AS01-A01</t>
        </is>
      </c>
      <c r="D17" s="6" t="inlineStr">
        <is>
          <t>Setup character formatting filters across text entry boxes.</t>
        </is>
      </c>
      <c r="E17" s="6" t="inlineStr">
        <is>
          <t>Asset &amp; Component Discovery Completeness - Text entry box wrapper</t>
        </is>
      </c>
      <c r="F17" s="6" t="inlineStr">
        <is>
          <t>90% of target assets confirmed present</t>
        </is>
      </c>
      <c r="G17" s="6" t="inlineStr">
        <is>
          <t>100% of target assets confirmed present</t>
        </is>
      </c>
      <c r="H17" s="6" t="inlineStr">
        <is>
          <t>100% (full inventory)</t>
        </is>
      </c>
      <c r="I17" s="6" t="inlineStr">
        <is>
          <t>ValidatedInputField present; 13/13 CDEs covered = 100%</t>
        </is>
      </c>
      <c r="J17" s="6">
        <f>COUNTIF('Gate Register'!$D:$D,$C17)</f>
        <v/>
      </c>
      <c r="K17" s="6">
        <f>COUNTIFS('Gate Register'!$D:$D,$C17,'Gate Register'!$I:$I,"DEFERRED")</f>
        <v/>
      </c>
      <c r="L17" s="6">
        <f>COUNTIFS('Gate Register'!$D:$D,$C17,'Gate Register'!$K:$K,"Pass")</f>
        <v/>
      </c>
      <c r="M17" s="6">
        <f>IF($J17=0,"Not Complete",IF($L17=$J17,"Complete",IF($L17=0,"Not Complete","Partial")))</f>
        <v/>
      </c>
      <c r="N17" s="6" t="inlineStr">
        <is>
          <t>Complete / Partial / Not Complete</t>
        </is>
      </c>
    </row>
    <row r="18" ht="64" customHeight="1">
      <c r="A18" s="5" t="n">
        <v>17</v>
      </c>
      <c r="B18" s="5" t="inlineStr">
        <is>
          <t>IS02-CSIVW-005-AS01</t>
        </is>
      </c>
      <c r="C18" s="5" t="inlineStr">
        <is>
          <t>IS02-CSIVW-005-AS01-A01</t>
        </is>
      </c>
      <c r="D18" s="5" t="inlineStr">
        <is>
          <t>Program dynamic inline error layouts to activate when input fields fail validation checks.</t>
        </is>
      </c>
      <c r="E18" s="5" t="inlineStr">
        <is>
          <t>Asset &amp; Component Discovery Completeness - Form validation directory</t>
        </is>
      </c>
      <c r="F18" s="5" t="inlineStr">
        <is>
          <t>90% of target assets confirmed present</t>
        </is>
      </c>
      <c r="G18" s="5" t="inlineStr">
        <is>
          <t>100% of target assets confirmed present</t>
        </is>
      </c>
      <c r="H18" s="5" t="inlineStr">
        <is>
          <t>100% (full inventory)</t>
        </is>
      </c>
      <c r="I18" s="5" t="inlineStr">
        <is>
          <t>forms/ present with inline_error, form_gate, field_validation = 100%</t>
        </is>
      </c>
      <c r="J18" s="5">
        <f>COUNTIF('Gate Register'!$D:$D,$C18)</f>
        <v/>
      </c>
      <c r="K18" s="5">
        <f>COUNTIFS('Gate Register'!$D:$D,$C18,'Gate Register'!$I:$I,"DEFERRED")</f>
        <v/>
      </c>
      <c r="L18" s="5">
        <f>COUNTIFS('Gate Register'!$D:$D,$C18,'Gate Register'!$K:$K,"Pass")</f>
        <v/>
      </c>
      <c r="M18" s="5">
        <f>IF($J18=0,"Not Complete",IF($L18=$J18,"Complete",IF($L18=0,"Not Complete","Partial")))</f>
        <v/>
      </c>
      <c r="N18" s="5" t="inlineStr">
        <is>
          <t>Complete / Partial / Not Complete</t>
        </is>
      </c>
    </row>
    <row r="19" ht="64" customHeight="1">
      <c r="A19" s="6" t="n">
        <v>18</v>
      </c>
      <c r="B19" s="6" t="inlineStr">
        <is>
          <t>BPTR-0160</t>
        </is>
      </c>
      <c r="C19" s="6" t="inlineStr">
        <is>
          <t>BPTR-0160-A01</t>
        </is>
      </c>
      <c r="D19" s="6" t="inlineStr">
        <is>
          <t>Code and isolate mobile compound fields into distinct, standalone UI components featuring strict 48x48dp touch targets.</t>
        </is>
      </c>
      <c r="E19" s="6" t="inlineStr">
        <is>
          <t>Field/Element Identification Accuracy</t>
        </is>
      </c>
      <c r="F19" s="6" t="inlineStr">
        <is>
          <t>95.0</t>
        </is>
      </c>
      <c r="G19" s="6" t="inlineStr">
        <is>
          <t>99.0</t>
        </is>
      </c>
      <c r="H19" s="6" t="inlineStr">
        <is>
          <t>100.0</t>
        </is>
      </c>
      <c r="I19" s="6" t="inlineStr">
        <is>
          <t>13 of 13 compound parts identified and mapped to a CDE regex rule = 100%</t>
        </is>
      </c>
      <c r="J19" s="6">
        <f>COUNTIF('Gate Register'!$D:$D,$C19)</f>
        <v/>
      </c>
      <c r="K19" s="6">
        <f>COUNTIFS('Gate Register'!$D:$D,$C19,'Gate Register'!$I:$I,"DEFERRED")</f>
        <v/>
      </c>
      <c r="L19" s="6">
        <f>COUNTIFS('Gate Register'!$D:$D,$C19,'Gate Register'!$K:$K,"Pass")</f>
        <v/>
      </c>
      <c r="M19" s="6">
        <f>IF($J19=0,"Not Complete",IF($L19=$J19,"Complete",IF($L19=0,"Not Complete","Partial")))</f>
        <v/>
      </c>
      <c r="N19" s="6" t="inlineStr">
        <is>
          <t>Pass / Fail</t>
        </is>
      </c>
    </row>
    <row r="20" ht="64" customHeight="1">
      <c r="A20" s="5" t="n">
        <v>19</v>
      </c>
      <c r="B20" s="5" t="inlineStr">
        <is>
          <t>REF-197</t>
        </is>
      </c>
      <c r="C20" s="5" t="inlineStr">
        <is>
          <t>REF-197-A01</t>
        </is>
      </c>
      <c r="D20" s="5" t="inlineStr">
        <is>
          <t>Developing the Safe Error-Handling UI Rollback Handler</t>
        </is>
      </c>
      <c r="E20" s="5" t="inlineStr">
        <is>
          <t>Template Definition</t>
        </is>
      </c>
      <c r="F20" s="5" t="inlineStr">
        <is>
          <t>Complete</t>
        </is>
      </c>
      <c r="G20" s="5" t="inlineStr">
        <is>
          <t>Complete</t>
        </is>
      </c>
      <c r="H20" s="5" t="inlineStr">
        <is>
          <t>Complete</t>
        </is>
      </c>
      <c r="I20" s="5" t="inlineStr">
        <is>
          <t>Complete - 9 of 9 failure categories have a jargon-free template</t>
        </is>
      </c>
      <c r="J20" s="5">
        <f>COUNTIF('Gate Register'!$D:$D,$C20)</f>
        <v/>
      </c>
      <c r="K20" s="5">
        <f>COUNTIFS('Gate Register'!$D:$D,$C20,'Gate Register'!$I:$I,"DEFERRED")</f>
        <v/>
      </c>
      <c r="L20" s="5">
        <f>COUNTIFS('Gate Register'!$D:$D,$C20,'Gate Register'!$K:$K,"Pass")</f>
        <v/>
      </c>
      <c r="M20" s="5">
        <f>IF($J20=0,"Not Complete",IF($L20=$J20,"Complete",IF($L20=0,"Not Complete","Partial")))</f>
        <v/>
      </c>
      <c r="N20" s="5" t="inlineStr">
        <is>
          <t>Complete / Not Complete</t>
        </is>
      </c>
    </row>
    <row r="21" ht="64" customHeight="1">
      <c r="A21" s="6" t="n">
        <v>20</v>
      </c>
      <c r="B21" s="6" t="inlineStr">
        <is>
          <t>FIEVR-033</t>
        </is>
      </c>
      <c r="C21" s="6" t="inlineStr">
        <is>
          <t>FIEVR-033-A01</t>
        </is>
      </c>
      <c r="D21" s="6" t="inlineStr">
        <is>
          <t>Build Multi-Step Guided Carousel Layout Stepper</t>
        </is>
      </c>
      <c r="E21" s="6" t="inlineStr">
        <is>
          <t>Scope Coverage / Audit Completeness</t>
        </is>
      </c>
      <c r="F21" s="6" t="inlineStr">
        <is>
          <t>80% of relevant items identified</t>
        </is>
      </c>
      <c r="G21" s="6" t="inlineStr">
        <is>
          <t>100% identified and logged in an inventory register</t>
        </is>
      </c>
      <c r="H21" s="6" t="inlineStr">
        <is>
          <t>100% identified, logged, cross-checked against spec</t>
        </is>
      </c>
      <c r="I21" s="6" t="inlineStr">
        <is>
          <t>8 of 8 gated = 100%; CarouselStepper.build = 17 lines vs 20 budget</t>
        </is>
      </c>
      <c r="J21" s="6">
        <f>COUNTIF('Gate Register'!$D:$D,$C21)</f>
        <v/>
      </c>
      <c r="K21" s="6">
        <f>COUNTIFS('Gate Register'!$D:$D,$C21,'Gate Register'!$I:$I,"DEFERRED")</f>
        <v/>
      </c>
      <c r="L21" s="6">
        <f>COUNTIFS('Gate Register'!$D:$D,$C21,'Gate Register'!$K:$K,"Pass")</f>
        <v/>
      </c>
      <c r="M21" s="6">
        <f>IF($J21=0,"Not Complete",IF($L21=$J21,"Complete",IF($L21=0,"Not Complete","Partial")))</f>
        <v/>
      </c>
      <c r="N21" s="6" t="inlineStr">
        <is>
          <t>Complete</t>
        </is>
      </c>
    </row>
    <row r="22" ht="64" customHeight="1">
      <c r="A22" s="5" t="n">
        <v>21</v>
      </c>
      <c r="B22" s="5" t="inlineStr">
        <is>
          <t>GEN-00055</t>
        </is>
      </c>
      <c r="C22" s="5" t="inlineStr">
        <is>
          <t>GEN-00055-A01</t>
        </is>
      </c>
      <c r="D22" s="5" t="inlineStr">
        <is>
          <t>Build the BottomSheet atomic component using MD3 design tokens.</t>
        </is>
      </c>
      <c r="E22" s="5" t="inlineStr">
        <is>
          <t>Component Delivery Completeness</t>
        </is>
      </c>
      <c r="F22" s="5" t="inlineStr">
        <is>
          <t>Component functionally complete, minor polish outstanding</t>
        </is>
      </c>
      <c r="G22" s="5" t="inlineStr">
        <is>
          <t>100% functional + documented (Storybook/README) delivery</t>
        </is>
      </c>
      <c r="H22" s="5" t="inlineStr">
        <is>
          <t>1.0</t>
        </is>
      </c>
      <c r="I22" s="5" t="inlineStr">
        <is>
          <t>100% - chassis, handle, title, actions, scroll body and presentation API delivered and documented</t>
        </is>
      </c>
      <c r="J22" s="5">
        <f>COUNTIF('Gate Register'!$D:$D,$C22)</f>
        <v/>
      </c>
      <c r="K22" s="5">
        <f>COUNTIFS('Gate Register'!$D:$D,$C22,'Gate Register'!$I:$I,"DEFERRED")</f>
        <v/>
      </c>
      <c r="L22" s="5">
        <f>COUNTIFS('Gate Register'!$D:$D,$C22,'Gate Register'!$K:$K,"Pass")</f>
        <v/>
      </c>
      <c r="M22" s="5">
        <f>IF($J22=0,"Not Complete",IF($L22=$J22,"Complete",IF($L22=0,"Not Complete","Partial")))</f>
        <v/>
      </c>
      <c r="N22" s="5" t="inlineStr">
        <is>
          <t>Complete / Partial / Not Complete</t>
        </is>
      </c>
    </row>
    <row r="23" ht="64" customHeight="1">
      <c r="A23" s="6" t="n">
        <v>22</v>
      </c>
      <c r="B23" s="6" t="inlineStr">
        <is>
          <t>GEN-00954</t>
        </is>
      </c>
      <c r="C23" s="6" t="inlineStr">
        <is>
          <t>GEN-00954-A01</t>
        </is>
      </c>
      <c r="D23" s="6" t="inlineStr">
        <is>
          <t>Standardize MD3 Bottom-Sheet UI for Mobile Complex Action Flows</t>
        </is>
      </c>
      <c r="E23" s="6" t="inlineStr">
        <is>
          <t>Scrim Opacity Compliance</t>
        </is>
      </c>
      <c r="F23" s="6" t="inlineStr">
        <is>
          <t>32%</t>
        </is>
      </c>
      <c r="G23" s="6" t="inlineStr">
        <is>
          <t>32%</t>
        </is>
      </c>
      <c r="H23" s="6" t="inlineStr">
        <is>
          <t>32%</t>
        </is>
      </c>
      <c r="I23" s="6" t="inlineStr">
        <is>
          <t>32% - exact match, single-value metric; one barrier colour in all of lib/</t>
        </is>
      </c>
      <c r="J23" s="6">
        <f>COUNTIF('Gate Register'!$D:$D,$C23)</f>
        <v/>
      </c>
      <c r="K23" s="6">
        <f>COUNTIFS('Gate Register'!$D:$D,$C23,'Gate Register'!$I:$I,"DEFERRED")</f>
        <v/>
      </c>
      <c r="L23" s="6">
        <f>COUNTIFS('Gate Register'!$D:$D,$C23,'Gate Register'!$K:$K,"Pass")</f>
        <v/>
      </c>
      <c r="M23" s="6">
        <f>IF($J23=0,"Not Complete",IF($L23=$J23,"Complete",IF($L23=0,"Not Complete","Partial")))</f>
        <v/>
      </c>
      <c r="N23" s="6" t="inlineStr">
        <is>
          <t>Pass / Fail</t>
        </is>
      </c>
    </row>
    <row r="24" ht="64" customHeight="1">
      <c r="A24" s="5" t="n">
        <v>23</v>
      </c>
      <c r="B24" s="5" t="inlineStr">
        <is>
          <t>GEN-00235</t>
        </is>
      </c>
      <c r="C24" s="5" t="inlineStr">
        <is>
          <t>GEN-00235-A01</t>
        </is>
      </c>
      <c r="D24" s="5" t="inlineStr">
        <is>
          <t>Set the default snapping point to 60% viewport height for optimal thumb interaction.</t>
        </is>
      </c>
      <c r="E24" s="5" t="inlineStr">
        <is>
          <t>Cross-Viewport Rendering Consistency</t>
        </is>
      </c>
      <c r="F24" s="5" t="inlineStr">
        <is>
          <t>Zero regressions on primary breakpoints (360/390/412px)</t>
        </is>
      </c>
      <c r="G24" s="5" t="inlineStr">
        <is>
          <t>Zero regressions across full tested device matrix</t>
        </is>
      </c>
      <c r="H24" s="5" t="inlineStr">
        <is>
          <t>N/A (zero-tolerance metric)</t>
        </is>
      </c>
      <c r="I24" s="5" t="inlineStr">
        <is>
          <t>Zero regressions - usable on all 9 matrix devices; smallest (iPhone SE) yields 341dp</t>
        </is>
      </c>
      <c r="J24" s="5">
        <f>COUNTIF('Gate Register'!$D:$D,$C24)</f>
        <v/>
      </c>
      <c r="K24" s="5">
        <f>COUNTIFS('Gate Register'!$D:$D,$C24,'Gate Register'!$I:$I,"DEFERRED")</f>
        <v/>
      </c>
      <c r="L24" s="5">
        <f>COUNTIFS('Gate Register'!$D:$D,$C24,'Gate Register'!$K:$K,"Pass")</f>
        <v/>
      </c>
      <c r="M24" s="5">
        <f>IF($J24=0,"Not Complete",IF($L24=$J24,"Complete",IF($L24=0,"Not Complete","Partial")))</f>
        <v/>
      </c>
      <c r="N24" s="5" t="inlineStr">
        <is>
          <t>Pass / Fail</t>
        </is>
      </c>
    </row>
    <row r="25" ht="64" customHeight="1">
      <c r="A25" s="6" t="n">
        <v>24</v>
      </c>
      <c r="B25" s="6" t="inlineStr">
        <is>
          <t>MUFCE-028</t>
        </is>
      </c>
      <c r="C25" s="6" t="inlineStr">
        <is>
          <t>MUFCE-028-A01</t>
        </is>
      </c>
      <c r="D25" s="6" t="inlineStr">
        <is>
          <t>Mandatory removal of all mouse hover tooltips and replacement with touch long-press modal sheets.</t>
        </is>
      </c>
      <c r="E25" s="6" t="inlineStr">
        <is>
          <t>Environment / Asset Access Readiness</t>
        </is>
      </c>
      <c r="F25" s="6" t="inlineStr">
        <is>
          <t>Located on first attempt</t>
        </is>
      </c>
      <c r="G25" s="6" t="inlineStr">
        <is>
          <t>Path version-controlled &amp; documented</t>
        </is>
      </c>
      <c r="H25" s="6" t="inlineStr">
        <is>
          <t>N/A (one-time setup)</t>
        </is>
      </c>
      <c r="I25" s="6" t="inlineStr">
        <is>
          <t>Path version-controlled and documented; zero tooltips/hover callbacks in lib/, guard-enforced</t>
        </is>
      </c>
      <c r="J25" s="6">
        <f>COUNTIF('Gate Register'!$D:$D,$C25)</f>
        <v/>
      </c>
      <c r="K25" s="6">
        <f>COUNTIFS('Gate Register'!$D:$D,$C25,'Gate Register'!$I:$I,"DEFERRED")</f>
        <v/>
      </c>
      <c r="L25" s="6">
        <f>COUNTIFS('Gate Register'!$D:$D,$C25,'Gate Register'!$K:$K,"Pass")</f>
        <v/>
      </c>
      <c r="M25" s="6">
        <f>IF($J25=0,"Not Complete",IF($L25=$J25,"Complete",IF($L25=0,"Not Complete","Partial")))</f>
        <v/>
      </c>
      <c r="N25" s="6" t="inlineStr">
        <is>
          <t>Complete / Partial / Not Complete</t>
        </is>
      </c>
    </row>
    <row r="26" ht="64" customHeight="1">
      <c r="A26" s="5" t="n">
        <v>25</v>
      </c>
      <c r="B26" s="5" t="inlineStr">
        <is>
          <t>GEN-01363</t>
        </is>
      </c>
      <c r="C26" s="5" t="inlineStr">
        <is>
          <t>GEN-01363-A01</t>
        </is>
      </c>
      <c r="D26" s="5" t="inlineStr">
        <is>
          <t>Bind the client UI error boundaries to trigger M3 error Snackbars upon caught exceptions.</t>
        </is>
      </c>
      <c r="E26" s="5" t="inlineStr">
        <is>
          <t>Crash-Free Session Rate</t>
        </is>
      </c>
      <c r="F26" s="5" t="inlineStr">
        <is>
          <t>0.99</t>
        </is>
      </c>
      <c r="G26" s="5" t="inlineStr">
        <is>
          <t>0.999</t>
        </is>
      </c>
      <c r="H26" s="5" t="inlineStr">
        <is>
          <t>1.0</t>
        </is>
      </c>
      <c r="I26" s="5" t="inlineStr">
        <is>
          <t>Not measurable in-suite (production KPI). Mechanism verified: every caught exception becomes a scrubbed template with a correct retry decision</t>
        </is>
      </c>
      <c r="J26" s="5">
        <f>COUNTIF('Gate Register'!$D:$D,$C26)</f>
        <v/>
      </c>
      <c r="K26" s="5">
        <f>COUNTIFS('Gate Register'!$D:$D,$C26,'Gate Register'!$I:$I,"DEFERRED")</f>
        <v/>
      </c>
      <c r="L26" s="5">
        <f>COUNTIFS('Gate Register'!$D:$D,$C26,'Gate Register'!$K:$K,"Pass")</f>
        <v/>
      </c>
      <c r="M26" s="5">
        <f>IF($J26=0,"Not Complete",IF($L26=$J26,"Complete",IF($L26=0,"Not Complete","Partial")))</f>
        <v/>
      </c>
      <c r="N26" s="5" t="inlineStr">
        <is>
          <t>Good / Average / Poor</t>
        </is>
      </c>
    </row>
    <row r="27" ht="64" customHeight="1">
      <c r="A27" s="6" t="n">
        <v>26</v>
      </c>
      <c r="B27" s="6" t="inlineStr">
        <is>
          <t>GEN-01848</t>
        </is>
      </c>
      <c r="C27" s="6" t="inlineStr">
        <is>
          <t>GEN-01848-A01</t>
        </is>
      </c>
      <c r="D27" s="6" t="inlineStr">
        <is>
          <t>Implement visual progress indicators to show user advancement.</t>
        </is>
      </c>
      <c r="E27" s="6" t="inlineStr">
        <is>
          <t>Automated PR Rejection Rate for Non-Compliance (%) [METRIC NAME MISMATCH]</t>
        </is>
      </c>
      <c r="F27" s="6" t="inlineStr">
        <is>
          <t>95.0</t>
        </is>
      </c>
      <c r="G27" s="6" t="inlineStr">
        <is>
          <t>99.5</t>
        </is>
      </c>
      <c r="H27" s="6" t="inlineStr">
        <is>
          <t>100.0</t>
        </is>
      </c>
      <c r="I27" s="6" t="inlineStr">
        <is>
          <t>100% - guard rejects any progress component introducing a raw dimension, colour or duration</t>
        </is>
      </c>
      <c r="J27" s="6">
        <f>COUNTIF('Gate Register'!$D:$D,$C27)</f>
        <v/>
      </c>
      <c r="K27" s="6">
        <f>COUNTIFS('Gate Register'!$D:$D,$C27,'Gate Register'!$I:$I,"DEFERRED")</f>
        <v/>
      </c>
      <c r="L27" s="6">
        <f>COUNTIFS('Gate Register'!$D:$D,$C27,'Gate Register'!$K:$K,"Pass")</f>
        <v/>
      </c>
      <c r="M27" s="6">
        <f>IF($J27=0,"Not Complete",IF($L27=$J27,"Complete",IF($L27=0,"Not Complete","Partial")))</f>
        <v/>
      </c>
      <c r="N27" s="6" t="inlineStr">
        <is>
          <t>High / Medium / Low</t>
        </is>
      </c>
    </row>
    <row r="28" ht="64" customHeight="1">
      <c r="A28" s="5" t="n">
        <v>27</v>
      </c>
      <c r="B28" s="5" t="inlineStr">
        <is>
          <t>GEN-01297</t>
        </is>
      </c>
      <c r="C28" s="5" t="inlineStr">
        <is>
          <t>GEN-01297-A01</t>
        </is>
      </c>
      <c r="D28" s="5" t="inlineStr">
        <is>
          <t>Implement an empty state container with custom illustrations for zero-result searches.</t>
        </is>
      </c>
      <c r="E28" s="5" t="inlineStr">
        <is>
          <t>Activity Log Data Completeness [METRIC NAME MISMATCH]</t>
        </is>
      </c>
      <c r="F28" s="5" t="inlineStr">
        <is>
          <t>0.95</t>
        </is>
      </c>
      <c r="G28" s="5" t="inlineStr">
        <is>
          <t>0.999</t>
        </is>
      </c>
      <c r="H28" s="5" t="inlineStr">
        <is>
          <t>1.0</t>
        </is>
      </c>
      <c r="I28" s="5" t="inlineStr">
        <is>
          <t>1.0 - 4 of 4 empty reasons have complete, jargon-free copy and a distinct illustration</t>
        </is>
      </c>
      <c r="J28" s="5">
        <f>COUNTIF('Gate Register'!$D:$D,$C28)</f>
        <v/>
      </c>
      <c r="K28" s="5">
        <f>COUNTIFS('Gate Register'!$D:$D,$C28,'Gate Register'!$I:$I,"DEFERRED")</f>
        <v/>
      </c>
      <c r="L28" s="5">
        <f>COUNTIFS('Gate Register'!$D:$D,$C28,'Gate Register'!$K:$K,"Pass")</f>
        <v/>
      </c>
      <c r="M28" s="5">
        <f>IF($J28=0,"Not Complete",IF($L28=$J28,"Complete",IF($L28=0,"Not Complete","Partial")))</f>
        <v/>
      </c>
      <c r="N28" s="5" t="inlineStr">
        <is>
          <t>Complete / Partial / Not Complete</t>
        </is>
      </c>
    </row>
    <row r="29" ht="64" customHeight="1">
      <c r="A29" s="6" t="n">
        <v>28</v>
      </c>
      <c r="B29" s="6" t="inlineStr">
        <is>
          <t>GEN-01275</t>
        </is>
      </c>
      <c r="C29" s="6" t="inlineStr">
        <is>
          <t>GEN-01275-A01</t>
        </is>
      </c>
      <c r="D29" s="6" t="inlineStr">
        <is>
          <t>Embed M3 status Badges to mark completed and active milestone nodes.</t>
        </is>
      </c>
      <c r="E29" s="6" t="inlineStr">
        <is>
          <t>Real-Time Status Update Latency</t>
        </is>
      </c>
      <c r="F29" s="6" t="inlineStr">
        <is>
          <t>&lt;30s</t>
        </is>
      </c>
      <c r="G29" s="6" t="inlineStr">
        <is>
          <t>&lt;5s</t>
        </is>
      </c>
      <c r="H29" s="6" t="inlineStr">
        <is>
          <t>&lt;60s</t>
        </is>
      </c>
      <c r="I29" s="6" t="inlineStr">
        <is>
          <t>Component-added latency: one frame, no debounce. All 5 status roles clear 7:1 AAA both schemes</t>
        </is>
      </c>
      <c r="J29" s="6">
        <f>COUNTIF('Gate Register'!$D:$D,$C29)</f>
        <v/>
      </c>
      <c r="K29" s="6">
        <f>COUNTIFS('Gate Register'!$D:$D,$C29,'Gate Register'!$I:$I,"DEFERRED")</f>
        <v/>
      </c>
      <c r="L29" s="6">
        <f>COUNTIFS('Gate Register'!$D:$D,$C29,'Gate Register'!$K:$K,"Pass")</f>
        <v/>
      </c>
      <c r="M29" s="6">
        <f>IF($J29=0,"Not Complete",IF($L29=$J29,"Complete",IF($L29=0,"Not Complete","Partial")))</f>
        <v/>
      </c>
      <c r="N29" s="6" t="inlineStr">
        <is>
          <t>Good / Average / Poor</t>
        </is>
      </c>
    </row>
    <row r="30" ht="64" customHeight="1">
      <c r="A30" s="5" t="n">
        <v>29</v>
      </c>
      <c r="B30" s="5" t="inlineStr">
        <is>
          <t>GEN-01452</t>
        </is>
      </c>
      <c r="C30" s="5" t="inlineStr">
        <is>
          <t>GEN-01452-A01</t>
        </is>
      </c>
      <c r="D30" s="5" t="inlineStr">
        <is>
          <t>Construct the card UI chassis using M3 Outlined or Elevated Card specifications.</t>
        </is>
      </c>
      <c r="E30" s="5" t="inlineStr">
        <is>
          <t>Real-Time Availability Badge Accuracy [METRIC NAME MISMATCH]</t>
        </is>
      </c>
      <c r="F30" s="5" t="inlineStr">
        <is>
          <t>0.95</t>
        </is>
      </c>
      <c r="G30" s="5" t="inlineStr">
        <is>
          <t>0.999</t>
        </is>
      </c>
      <c r="H30" s="5" t="inlineStr">
        <is>
          <t>1.0</t>
        </is>
      </c>
      <c r="I30" s="5" t="inlineStr">
        <is>
          <t>1.0 - 3 of 3 variants conform; no variant carries both border and shadow; build = 17 lines vs 20</t>
        </is>
      </c>
      <c r="J30" s="5">
        <f>COUNTIF('Gate Register'!$D:$D,$C30)</f>
        <v/>
      </c>
      <c r="K30" s="5">
        <f>COUNTIFS('Gate Register'!$D:$D,$C30,'Gate Register'!$I:$I,"DEFERRED")</f>
        <v/>
      </c>
      <c r="L30" s="5">
        <f>COUNTIFS('Gate Register'!$D:$D,$C30,'Gate Register'!$K:$K,"Pass")</f>
        <v/>
      </c>
      <c r="M30" s="5">
        <f>IF($J30=0,"Not Complete",IF($L30=$J30,"Complete",IF($L30=0,"Not Complete","Partial")))</f>
        <v/>
      </c>
      <c r="N30" s="5" t="inlineStr">
        <is>
          <t>Pass / Fail</t>
        </is>
      </c>
    </row>
    <row r="31" ht="64" customHeight="1">
      <c r="A31" s="6" t="n">
        <v>30</v>
      </c>
      <c r="B31" s="6" t="inlineStr">
        <is>
          <t>GEN-00201</t>
        </is>
      </c>
      <c r="C31" s="6" t="inlineStr">
        <is>
          <t>GEN-00201-A01</t>
        </is>
      </c>
      <c r="D31" s="6" t="inlineStr">
        <is>
          <t>Use Material Design 3 shared axis transitions for mobile view state changes.</t>
        </is>
      </c>
      <c r="E31" s="6" t="inlineStr">
        <is>
          <t>General Task Completion Quality</t>
        </is>
      </c>
      <c r="F31" s="6" t="inlineStr">
        <is>
          <t>Task completed with documented exceptions</t>
        </is>
      </c>
      <c r="G31" s="6" t="inlineStr">
        <is>
          <t>100% completion matching stated implementation-step intent</t>
        </is>
      </c>
      <c r="H31" s="6" t="inlineStr">
        <is>
          <t>1.0</t>
        </is>
      </c>
      <c r="I31" s="6" t="inlineStr">
        <is>
          <t>Complete - 3 axes, fade-through disjoint at 101 sampled points, shared duration rung, reduced motion honoured</t>
        </is>
      </c>
      <c r="J31" s="6">
        <f>COUNTIF('Gate Register'!$D:$D,$C31)</f>
        <v/>
      </c>
      <c r="K31" s="6">
        <f>COUNTIFS('Gate Register'!$D:$D,$C31,'Gate Register'!$I:$I,"DEFERRED")</f>
        <v/>
      </c>
      <c r="L31" s="6">
        <f>COUNTIFS('Gate Register'!$D:$D,$C31,'Gate Register'!$K:$K,"Pass")</f>
        <v/>
      </c>
      <c r="M31" s="6">
        <f>IF($J31=0,"Not Complete",IF($L31=$J31,"Complete",IF($L31=0,"Not Complete","Partial")))</f>
        <v/>
      </c>
      <c r="N31" s="6" t="inlineStr">
        <is>
          <t>Complete / Partial / Not Complete</t>
        </is>
      </c>
    </row>
    <row r="32" ht="64" customHeight="1">
      <c r="A32" s="5" t="n">
        <v>31</v>
      </c>
      <c r="B32" s="5" t="inlineStr">
        <is>
          <t>IS38-SGTIM-018-AS01</t>
        </is>
      </c>
      <c r="C32" s="5" t="inlineStr">
        <is>
          <t>IS38-SGTIM-018-AS01-A01</t>
        </is>
      </c>
      <c r="D32" s="5" t="inlineStr">
        <is>
          <t>Apply M3 Overscroll Stretch on MTOI Lists</t>
        </is>
      </c>
      <c r="E32" s="5" t="inlineStr">
        <is>
          <t>Asset &amp; Component Discovery Completeness - MD3 UI components</t>
        </is>
      </c>
      <c r="F32" s="5" t="inlineStr">
        <is>
          <t>90% of target assets confirmed present</t>
        </is>
      </c>
      <c r="G32" s="5" t="inlineStr">
        <is>
          <t>100% of target assets confirmed present</t>
        </is>
      </c>
      <c r="H32" s="5" t="inlineStr">
        <is>
          <t>100% (full inventory)</t>
        </is>
      </c>
      <c r="I32" s="5" t="inlineStr">
        <is>
          <t>100% - stretch applied app-wide, glow eliminated, bounds clamped. 1 gate DEFERRED (physical device feel)</t>
        </is>
      </c>
      <c r="J32" s="5">
        <f>COUNTIF('Gate Register'!$D:$D,$C32)</f>
        <v/>
      </c>
      <c r="K32" s="5">
        <f>COUNTIFS('Gate Register'!$D:$D,$C32,'Gate Register'!$I:$I,"DEFERRED")</f>
        <v/>
      </c>
      <c r="L32" s="5">
        <f>COUNTIFS('Gate Register'!$D:$D,$C32,'Gate Register'!$K:$K,"Pass")</f>
        <v/>
      </c>
      <c r="M32" s="5">
        <f>IF($J32=0,"Not Complete",IF($L32=$J32,"Complete",IF($L32=0,"Not Complete","Partial")))</f>
        <v/>
      </c>
      <c r="N32" s="5" t="inlineStr">
        <is>
          <t>Complete / Partial / Not Complete</t>
        </is>
      </c>
    </row>
    <row r="33" ht="64" customHeight="1">
      <c r="A33" s="6" t="n">
        <v>32</v>
      </c>
      <c r="B33" s="6" t="inlineStr">
        <is>
          <t>CPNCA-006</t>
        </is>
      </c>
      <c r="C33" s="6" t="inlineStr">
        <is>
          <t>CPNCA-006-A01</t>
        </is>
      </c>
      <c r="D33" s="6" t="inlineStr">
        <is>
          <t>Build a standardized list virtualization and dynamic data chunking component for data tables.</t>
        </is>
      </c>
      <c r="E33" s="6" t="inlineStr">
        <is>
          <t>Requirements / Discovery Coverage (%)</t>
        </is>
      </c>
      <c r="F33" s="6" t="inlineStr">
        <is>
          <t>90% of relevant items identified</t>
        </is>
      </c>
      <c r="G33" s="6" t="inlineStr">
        <is>
          <t>98% of relevant items identified</t>
        </is>
      </c>
      <c r="H33" s="6" t="inlineStr">
        <is>
          <t>100% of relevant items identified</t>
        </is>
      </c>
      <c r="I33" s="6" t="inlineStr">
        <is>
          <t>100% - all 4 substeps and the 10,000-item completion measure gated; materialised rows stay under 60</t>
        </is>
      </c>
      <c r="J33" s="6">
        <f>COUNTIF('Gate Register'!$D:$D,$C33)</f>
        <v/>
      </c>
      <c r="K33" s="6">
        <f>COUNTIFS('Gate Register'!$D:$D,$C33,'Gate Register'!$I:$I,"DEFERRED")</f>
        <v/>
      </c>
      <c r="L33" s="6">
        <f>COUNTIFS('Gate Register'!$D:$D,$C33,'Gate Register'!$K:$K,"Pass")</f>
        <v/>
      </c>
      <c r="M33" s="6">
        <f>IF($J33=0,"Not Complete",IF($L33=$J33,"Complete",IF($L33=0,"Not Complete","Partial")))</f>
        <v/>
      </c>
      <c r="N33" s="6" t="inlineStr">
        <is>
          <t>Complete / Partial / Not Complete</t>
        </is>
      </c>
    </row>
    <row r="34" ht="64" customHeight="1">
      <c r="A34" s="5" t="n">
        <v>33</v>
      </c>
      <c r="B34" s="5" t="inlineStr">
        <is>
          <t>ANSA-006</t>
        </is>
      </c>
      <c r="C34" s="5" t="inlineStr">
        <is>
          <t>ANSA-006-A01</t>
        </is>
      </c>
      <c r="D34" s="5" t="inlineStr">
        <is>
          <t>Build an expandable search text line inside primary system headers.</t>
        </is>
      </c>
      <c r="E34" s="5" t="inlineStr">
        <is>
          <t>Environment &amp; Configuration Setup Readiness</t>
        </is>
      </c>
      <c r="F34" s="5" t="inlineStr">
        <is>
          <t>Config file located &amp; version-controlled</t>
        </is>
      </c>
      <c r="G34" s="5" t="inlineStr">
        <is>
          <t>Config opened in correct branch with schema validated</t>
        </is>
      </c>
      <c r="H34" s="5" t="inlineStr">
        <is>
          <t>N/A (gate, not a range)</t>
        </is>
      </c>
      <c r="I34" s="5" t="inlineStr">
        <is>
          <t>Config version-controlled and schema-validated; 350ms budget holds app-side; 4 keystrokes -&gt; 1 query</t>
        </is>
      </c>
      <c r="J34" s="5">
        <f>COUNTIF('Gate Register'!$D:$D,$C34)</f>
        <v/>
      </c>
      <c r="K34" s="5">
        <f>COUNTIFS('Gate Register'!$D:$D,$C34,'Gate Register'!$I:$I,"DEFERRED")</f>
        <v/>
      </c>
      <c r="L34" s="5">
        <f>COUNTIFS('Gate Register'!$D:$D,$C34,'Gate Register'!$K:$K,"Pass")</f>
        <v/>
      </c>
      <c r="M34" s="5">
        <f>IF($J34=0,"Not Complete",IF($L34=$J34,"Complete",IF($L34=0,"Not Complete","Partial")))</f>
        <v/>
      </c>
      <c r="N34" s="5" t="inlineStr">
        <is>
          <t>Pass / Fail</t>
        </is>
      </c>
    </row>
    <row r="35" ht="64" customHeight="1">
      <c r="A35" s="6" t="n">
        <v>34</v>
      </c>
      <c r="B35" s="6" t="inlineStr">
        <is>
          <t>UFHT-032</t>
        </is>
      </c>
      <c r="C35" s="6" t="inlineStr">
        <is>
          <t>UFHT-032-A01</t>
        </is>
      </c>
      <c r="D35" s="6" t="inlineStr">
        <is>
          <t>UI Hesitation Tracker Engine Setup</t>
        </is>
      </c>
      <c r="E35" s="6" t="inlineStr">
        <is>
          <t>Event Listener Coverage Rate (%)</t>
        </is>
      </c>
      <c r="F35" s="6" t="inlineStr">
        <is>
          <t>95.0</t>
        </is>
      </c>
      <c r="G35" s="6" t="inlineStr">
        <is>
          <t>99.0</t>
        </is>
      </c>
      <c r="H35" s="6" t="inlineStr">
        <is>
          <t>100.0</t>
        </is>
      </c>
      <c r="I35" s="6" t="inlineStr">
        <is>
          <t>100.0 - structural coverage; every ValidatedInputField attaches its listener in initState. Contaminated columns excluded</t>
        </is>
      </c>
      <c r="J35" s="6">
        <f>COUNTIF('Gate Register'!$D:$D,$C35)</f>
        <v/>
      </c>
      <c r="K35" s="6">
        <f>COUNTIFS('Gate Register'!$D:$D,$C35,'Gate Register'!$I:$I,"DEFERRED")</f>
        <v/>
      </c>
      <c r="L35" s="6">
        <f>COUNTIFS('Gate Register'!$D:$D,$C35,'Gate Register'!$K:$K,"Pass")</f>
        <v/>
      </c>
      <c r="M35" s="6">
        <f>IF($J35=0,"Not Complete",IF($L35=$J35,"Complete",IF($L35=0,"Not Complete","Partial")))</f>
        <v/>
      </c>
      <c r="N35" s="6" t="inlineStr">
        <is>
          <t>Complete / Partial / Not Complete</t>
        </is>
      </c>
    </row>
    <row r="36" ht="64" customHeight="1">
      <c r="A36" s="5" t="n">
        <v>35</v>
      </c>
      <c r="B36" s="5" t="inlineStr">
        <is>
          <t>GEN-00632</t>
        </is>
      </c>
      <c r="C36" s="5" t="inlineStr">
        <is>
          <t>GEN-00632-A01</t>
        </is>
      </c>
      <c r="D36" s="5" t="inlineStr">
        <is>
          <t>Deploy Mobile UX Friction Logs (Hesitation Tracking)</t>
        </is>
      </c>
      <c r="E36" s="5" t="inlineStr">
        <is>
          <t>Class Wrapper Integrity</t>
        </is>
      </c>
      <c r="F36" s="5" t="inlineStr">
        <is>
          <t>100%</t>
        </is>
      </c>
      <c r="G36" s="5" t="inlineStr">
        <is>
          <t>100%</t>
        </is>
      </c>
      <c r="H36" s="5" t="inlineStr">
        <is>
          <t>N/A (100% target)</t>
        </is>
      </c>
      <c r="I36" s="5" t="inlineStr">
        <is>
          <t>100% - records every pointer without swallowing it; replay double-tap rate 0.40% vs 1% ceiling</t>
        </is>
      </c>
      <c r="J36" s="5">
        <f>COUNTIF('Gate Register'!$D:$D,$C36)</f>
        <v/>
      </c>
      <c r="K36" s="5">
        <f>COUNTIFS('Gate Register'!$D:$D,$C36,'Gate Register'!$I:$I,"DEFERRED")</f>
        <v/>
      </c>
      <c r="L36" s="5">
        <f>COUNTIFS('Gate Register'!$D:$D,$C36,'Gate Register'!$K:$K,"Pass")</f>
        <v/>
      </c>
      <c r="M36" s="5">
        <f>IF($J36=0,"Not Complete",IF($L36=$J36,"Complete",IF($L36=0,"Not Complete","Partial")))</f>
        <v/>
      </c>
      <c r="N36" s="5" t="inlineStr">
        <is>
          <t>Complete / Not Complete</t>
        </is>
      </c>
    </row>
    <row r="37" ht="64" customHeight="1">
      <c r="A37" s="6" t="n">
        <v>36</v>
      </c>
      <c r="B37" s="6" t="inlineStr">
        <is>
          <t>SSTLA-012</t>
        </is>
      </c>
      <c r="C37" s="6" t="inlineStr">
        <is>
          <t>SSTLA-012-A01</t>
        </is>
      </c>
      <c r="D37" s="6" t="inlineStr">
        <is>
          <t>Defining the structural assembly blueprint for the mobile split-screen (Contextual Mirror) layout to present evidence and action panels on small screens.</t>
        </is>
      </c>
      <c r="E37" s="6" t="inlineStr">
        <is>
          <t>Requirement &amp; Asset Discovery Coverage (%)</t>
        </is>
      </c>
      <c r="F37" s="6" t="inlineStr">
        <is>
          <t>0.9</t>
        </is>
      </c>
      <c r="G37" s="6" t="inlineStr">
        <is>
          <t>1.0</t>
        </is>
      </c>
      <c r="H37" s="6" t="inlineStr">
        <is>
          <t>1.0</t>
        </is>
      </c>
      <c r="I37" s="6" t="inlineStr">
        <is>
          <t>1.0 - all 5 Data Collected fields derived from one record; 8 of 9 matrix devices mirror in both orientations, iPhone SE landscape resolves to the documented tabbed fallback</t>
        </is>
      </c>
      <c r="J37" s="6">
        <f>COUNTIF('Gate Register'!$D:$D,$C37)</f>
        <v/>
      </c>
      <c r="K37" s="6">
        <f>COUNTIFS('Gate Register'!$D:$D,$C37,'Gate Register'!$I:$I,"DEFERRED")</f>
        <v/>
      </c>
      <c r="L37" s="6">
        <f>COUNTIFS('Gate Register'!$D:$D,$C37,'Gate Register'!$K:$K,"Pass")</f>
        <v/>
      </c>
      <c r="M37" s="6">
        <f>IF($J37=0,"Not Complete",IF($L37=$J37,"Complete",IF($L37=0,"Not Complete","Partial")))</f>
        <v/>
      </c>
      <c r="N37" s="6" t="inlineStr">
        <is>
          <t>Complete / Partial / Not Complete</t>
        </is>
      </c>
    </row>
    <row r="38" ht="64" customHeight="1">
      <c r="A38" s="5" t="n">
        <v>37</v>
      </c>
      <c r="B38" s="5" t="inlineStr">
        <is>
          <t>GEN-03270</t>
        </is>
      </c>
      <c r="C38" s="5" t="inlineStr">
        <is>
          <t>GEN-03270-A01</t>
        </is>
      </c>
      <c r="D38" s="5" t="inlineStr">
        <is>
          <t>Create responsive split-screen and master-detail layout containers for mobile/tablet screens.</t>
        </is>
      </c>
      <c r="E38" s="5" t="inlineStr">
        <is>
          <t>Layout Responsiveness Pass Rate</t>
        </is>
      </c>
      <c r="F38" s="5" t="inlineStr">
        <is>
          <t>1.0</t>
        </is>
      </c>
      <c r="G38" s="5" t="inlineStr">
        <is>
          <t>1.0</t>
        </is>
      </c>
      <c r="H38" s="5" t="inlineStr">
        <is>
          <t>1.0</t>
        </is>
      </c>
      <c r="I38" s="5" t="inlineStr">
        <is>
          <t>1.0 - 18 of 18 viewports (9 devices x 2 orientations) resolve to a usable arrangement. Single-value metric</t>
        </is>
      </c>
      <c r="J38" s="5">
        <f>COUNTIF('Gate Register'!$D:$D,$C38)</f>
        <v/>
      </c>
      <c r="K38" s="5">
        <f>COUNTIFS('Gate Register'!$D:$D,$C38,'Gate Register'!$I:$I,"DEFERRED")</f>
        <v/>
      </c>
      <c r="L38" s="5">
        <f>COUNTIFS('Gate Register'!$D:$D,$C38,'Gate Register'!$K:$K,"Pass")</f>
        <v/>
      </c>
      <c r="M38" s="5">
        <f>IF($J38=0,"Not Complete",IF($L38=$J38,"Complete",IF($L38=0,"Not Complete","Partial")))</f>
        <v/>
      </c>
      <c r="N38" s="5" t="inlineStr">
        <is>
          <t>Pass / Fail</t>
        </is>
      </c>
    </row>
    <row r="39" ht="64" customHeight="1">
      <c r="A39" s="6" t="n">
        <v>38</v>
      </c>
      <c r="B39" s="6" t="inlineStr">
        <is>
          <t>SSTLA-010</t>
        </is>
      </c>
      <c r="C39" s="6" t="inlineStr">
        <is>
          <t>SSTLA-010-A01</t>
        </is>
      </c>
      <c r="D39" s="6" t="inlineStr">
        <is>
          <t>Formulate the responsive split-screen grid distributions and layout rules for Micro Task Outsourcing (MTO) panels to maximize readability.</t>
        </is>
      </c>
      <c r="E39" s="6" t="inlineStr">
        <is>
          <t>Requirement &amp; Asset Discovery Coverage (%) [COMPLETION MEASURES COLUMN EMPTY IN SHEET]</t>
        </is>
      </c>
      <c r="F39" s="6" t="inlineStr">
        <is>
          <t>0.9</t>
        </is>
      </c>
      <c r="G39" s="6" t="inlineStr">
        <is>
          <t>1.0</t>
        </is>
      </c>
      <c r="H39" s="6" t="inlineStr">
        <is>
          <t>1.0</t>
        </is>
      </c>
      <c r="I39" s="6" t="inlineStr">
        <is>
          <t>1.0 - vertical-stack rule, derived column counts, 75-character measure and the pinned-metric poka-yoke all gated (the last by scrolling a real tree)</t>
        </is>
      </c>
      <c r="J39" s="6">
        <f>COUNTIF('Gate Register'!$D:$D,$C39)</f>
        <v/>
      </c>
      <c r="K39" s="6">
        <f>COUNTIFS('Gate Register'!$D:$D,$C39,'Gate Register'!$I:$I,"DEFERRED")</f>
        <v/>
      </c>
      <c r="L39" s="6">
        <f>COUNTIFS('Gate Register'!$D:$D,$C39,'Gate Register'!$K:$K,"Pass")</f>
        <v/>
      </c>
      <c r="M39" s="6">
        <f>IF($J39=0,"Not Complete",IF($L39=$J39,"Complete",IF($L39=0,"Not Complete","Partial")))</f>
        <v/>
      </c>
      <c r="N39" s="6" t="inlineStr">
        <is>
          <t>Complete / Partial / Not Complete</t>
        </is>
      </c>
    </row>
    <row r="40" ht="64" customHeight="1">
      <c r="A40" s="5" t="n">
        <v>39</v>
      </c>
      <c r="B40" s="5" t="inlineStr">
        <is>
          <t>SSTLA-018</t>
        </is>
      </c>
      <c r="C40" s="5" t="inlineStr">
        <is>
          <t>SSTLA-018-A01</t>
        </is>
      </c>
      <c r="D40" s="5" t="inlineStr">
        <is>
          <t>Formulating the responsive layout rules to organize parent command sections on 5.5-inch mobile viewports.</t>
        </is>
      </c>
      <c r="E40" s="5" t="inlineStr">
        <is>
          <t>Requirement &amp; Asset Discovery Coverage (%)</t>
        </is>
      </c>
      <c r="F40" s="5" t="inlineStr">
        <is>
          <t>0.9</t>
        </is>
      </c>
      <c r="G40" s="5" t="inlineStr">
        <is>
          <t>1.0</t>
        </is>
      </c>
      <c r="H40" s="5" t="inlineStr">
        <is>
          <t>1.0</t>
        </is>
      </c>
      <c r="I40" s="5" t="inlineStr">
        <is>
          <t>1.0 - reference viewport pinned as 1080x1920 at DPR 3 = 360x640dp 16:9; stacking rule holds at every breakpoint; locking derived, not flagged</t>
        </is>
      </c>
      <c r="J40" s="5">
        <f>COUNTIF('Gate Register'!$D:$D,$C40)</f>
        <v/>
      </c>
      <c r="K40" s="5">
        <f>COUNTIFS('Gate Register'!$D:$D,$C40,'Gate Register'!$I:$I,"DEFERRED")</f>
        <v/>
      </c>
      <c r="L40" s="5">
        <f>COUNTIFS('Gate Register'!$D:$D,$C40,'Gate Register'!$K:$K,"Pass")</f>
        <v/>
      </c>
      <c r="M40" s="5">
        <f>IF($J40=0,"Not Complete",IF($L40=$J40,"Complete",IF($L40=0,"Not Complete","Partial")))</f>
        <v/>
      </c>
      <c r="N40" s="5" t="inlineStr">
        <is>
          <t>Complete / Partial / Not Complete</t>
        </is>
      </c>
    </row>
    <row r="41" ht="64" customHeight="1">
      <c r="A41" s="6" t="n">
        <v>40</v>
      </c>
      <c r="B41" s="6" t="inlineStr">
        <is>
          <t>GEN-02334</t>
        </is>
      </c>
      <c r="C41" s="6" t="inlineStr">
        <is>
          <t>GEN-02334-A01</t>
        </is>
      </c>
      <c r="D41" s="6" t="inlineStr">
        <is>
          <t>Integrate M3 Navigation Rails for tablet views and Bottom App Bars for mobile views.</t>
        </is>
      </c>
      <c r="E41" s="6" t="inlineStr">
        <is>
          <t>UI Compliance Rate (%)</t>
        </is>
      </c>
      <c r="F41" s="6" t="inlineStr">
        <is>
          <t>0.95</t>
        </is>
      </c>
      <c r="G41" s="6" t="inlineStr">
        <is>
          <t>1.0</t>
        </is>
      </c>
      <c r="H41" s="6" t="inlineStr">
        <is>
          <t>1.0</t>
        </is>
      </c>
      <c r="I41" s="6" t="inlineStr">
        <is>
          <t>1.0 - rail above the recorded 768dp threshold and bar below it, exactly one surface at a time, labels visible on both, zero hover tooltips, bar anchored in the thumb band</t>
        </is>
      </c>
      <c r="J41" s="6">
        <f>COUNTIF('Gate Register'!$D:$D,$C41)</f>
        <v/>
      </c>
      <c r="K41" s="6">
        <f>COUNTIFS('Gate Register'!$D:$D,$C41,'Gate Register'!$I:$I,"DEFERRED")</f>
        <v/>
      </c>
      <c r="L41" s="6">
        <f>COUNTIFS('Gate Register'!$D:$D,$C41,'Gate Register'!$K:$K,"Pass")</f>
        <v/>
      </c>
      <c r="M41" s="6">
        <f>IF($J41=0,"Not Complete",IF($L41=$J41,"Complete",IF($L41=0,"Not Complete","Partial")))</f>
        <v/>
      </c>
      <c r="N41" s="6" t="inlineStr">
        <is>
          <t>Pass / Fail</t>
        </is>
      </c>
    </row>
    <row r="42" ht="64" customHeight="1">
      <c r="A42" s="5" t="n">
        <v>41</v>
      </c>
      <c r="B42" s="5" t="inlineStr">
        <is>
          <t>GEN-02676</t>
        </is>
      </c>
      <c r="C42" s="5" t="inlineStr">
        <is>
          <t>GEN-02676-A01</t>
        </is>
      </c>
      <c r="D42" s="5" t="inlineStr">
        <is>
          <t>Add a badge counter to the bottom navigation icon that displays the current unread notification count.</t>
        </is>
      </c>
      <c r="E42" s="5" t="inlineStr">
        <is>
          <t>Implementation Completeness Rate [METRIC NAME MISMATCH]</t>
        </is>
      </c>
      <c r="F42" s="5" t="inlineStr">
        <is>
          <t>90% of defined scope completed</t>
        </is>
      </c>
      <c r="G42" s="5" t="inlineStr">
        <is>
          <t>100% of scope complete with peer validation</t>
        </is>
      </c>
      <c r="H42" s="5" t="inlineStr">
        <is>
          <t>1.0</t>
        </is>
      </c>
      <c r="I42" s="5" t="inlineStr">
        <is>
          <t>100% of defined scope - count display, zero suppression, 99+ cap, spoken announcement, per-route and total models, clear-on-open</t>
        </is>
      </c>
      <c r="J42" s="5">
        <f>COUNTIF('Gate Register'!$D:$D,$C42)</f>
        <v/>
      </c>
      <c r="K42" s="5">
        <f>COUNTIFS('Gate Register'!$D:$D,$C42,'Gate Register'!$I:$I,"DEFERRED")</f>
        <v/>
      </c>
      <c r="L42" s="5">
        <f>COUNTIFS('Gate Register'!$D:$D,$C42,'Gate Register'!$K:$K,"Pass")</f>
        <v/>
      </c>
      <c r="M42" s="5">
        <f>IF($J42=0,"Not Complete",IF($L42=$J42,"Complete",IF($L42=0,"Not Complete","Partial")))</f>
        <v/>
      </c>
      <c r="N42" s="5" t="inlineStr">
        <is>
          <t>Complete / Partial / Not Complete</t>
        </is>
      </c>
    </row>
    <row r="43" ht="64" customHeight="1">
      <c r="A43" s="6" t="n">
        <v>42</v>
      </c>
      <c r="B43" s="6" t="inlineStr">
        <is>
          <t>GEN-00999</t>
        </is>
      </c>
      <c r="C43" s="6" t="inlineStr">
        <is>
          <t>GEN-00999-A01</t>
        </is>
      </c>
      <c r="D43" s="6" t="inlineStr">
        <is>
          <t>Deploy Automated Mobile Deep Link Routing &amp; Context Restoration Engine</t>
        </is>
      </c>
      <c r="E43" s="6" t="inlineStr">
        <is>
          <t>Syntax Validity</t>
        </is>
      </c>
      <c r="F43" s="6" t="inlineStr">
        <is>
          <t>100%</t>
        </is>
      </c>
      <c r="G43" s="6" t="inlineStr">
        <is>
          <t>100%</t>
        </is>
      </c>
      <c r="H43" s="6" t="inlineStr">
        <is>
          <t>N/A (100% target)</t>
        </is>
      </c>
      <c r="I43" s="6" t="inlineStr">
        <is>
          <t>100% - file present at the name the sheet gives, symbols resolve, every context round-trips through JSON byte-for-byte</t>
        </is>
      </c>
      <c r="J43" s="6">
        <f>COUNTIF('Gate Register'!$D:$D,$C43)</f>
        <v/>
      </c>
      <c r="K43" s="6">
        <f>COUNTIFS('Gate Register'!$D:$D,$C43,'Gate Register'!$I:$I,"DEFERRED")</f>
        <v/>
      </c>
      <c r="L43" s="6">
        <f>COUNTIFS('Gate Register'!$D:$D,$C43,'Gate Register'!$K:$K,"Pass")</f>
        <v/>
      </c>
      <c r="M43" s="6">
        <f>IF($J43=0,"Not Complete",IF($L43=$J43,"Complete",IF($L43=0,"Not Complete","Partial")))</f>
        <v/>
      </c>
      <c r="N43" s="6" t="inlineStr">
        <is>
          <t>Complete / Not Complete</t>
        </is>
      </c>
    </row>
    <row r="44" ht="64" customHeight="1">
      <c r="A44" s="5" t="n">
        <v>43</v>
      </c>
      <c r="B44" s="5" t="inlineStr">
        <is>
          <t>GEN-02082</t>
        </is>
      </c>
      <c r="C44" s="5" t="inlineStr">
        <is>
          <t>GEN-02082-A01</t>
        </is>
      </c>
      <c r="D44" s="5" t="inlineStr">
        <is>
          <t>Build a deep link routing engine leveraging Navigation component routing.</t>
        </is>
      </c>
      <c r="E44" s="5" t="inlineStr">
        <is>
          <t>Push Notification Click-Through Rate (%) [METRIC NOT ATTRIBUTABLE TO THIS STEP]</t>
        </is>
      </c>
      <c r="F44" s="5" t="inlineStr">
        <is>
          <t>10.0</t>
        </is>
      </c>
      <c r="G44" s="5" t="inlineStr">
        <is>
          <t>25.0</t>
        </is>
      </c>
      <c r="H44" s="5" t="inlineStr">
        <is>
          <t>50.0</t>
        </is>
      </c>
      <c r="I44" s="5" t="inlineStr">
        <is>
          <t>Not measurable in-suite and not attributable to a router. Verified instead: every link resolves to a real destination with its parameters and restored context; no link can produce a blank screen</t>
        </is>
      </c>
      <c r="J44" s="5">
        <f>COUNTIF('Gate Register'!$D:$D,$C44)</f>
        <v/>
      </c>
      <c r="K44" s="5">
        <f>COUNTIFS('Gate Register'!$D:$D,$C44,'Gate Register'!$I:$I,"DEFERRED")</f>
        <v/>
      </c>
      <c r="L44" s="5">
        <f>COUNTIFS('Gate Register'!$D:$D,$C44,'Gate Register'!$K:$K,"Pass")</f>
        <v/>
      </c>
      <c r="M44" s="5">
        <f>IF($J44=0,"Not Complete",IF($L44=$J44,"Complete",IF($L44=0,"Not Complete","Partial")))</f>
        <v/>
      </c>
      <c r="N44" s="5" t="inlineStr">
        <is>
          <t>Good / Average / Poor</t>
        </is>
      </c>
    </row>
    <row r="45" ht="64" customHeight="1">
      <c r="A45" s="6" t="n">
        <v>44</v>
      </c>
      <c r="B45" s="6" t="inlineStr">
        <is>
          <t>GEN-01474</t>
        </is>
      </c>
      <c r="C45" s="6" t="inlineStr">
        <is>
          <t>GEN-01474-A01</t>
        </is>
      </c>
      <c r="D45" s="6" t="inlineStr">
        <is>
          <t>Benchmark tab switching latency to ensure view rendering completes under 200ms.</t>
        </is>
      </c>
      <c r="E45" s="6" t="inlineStr">
        <is>
          <t>Information Architecture Task Success Rate [METRIC NAME MISMATCH - NOT PRODUCED]</t>
        </is>
      </c>
      <c r="F45" s="6" t="inlineStr">
        <is>
          <t>0.8</t>
        </is>
      </c>
      <c r="G45" s="6" t="inlineStr">
        <is>
          <t>0.95</t>
        </is>
      </c>
      <c r="H45" s="6" t="inlineStr">
        <is>
          <t>1.0</t>
        </is>
      </c>
      <c r="I45" s="6" t="inlineStr">
        <is>
          <t>Sheet metric NOT PRODUCED (usability study, no number asserted). The step-named 200ms IS measured: 5 real shell switches, 100% pass rate, worst well inside the ceiling. Test host, not device</t>
        </is>
      </c>
      <c r="J45" s="6">
        <f>COUNTIF('Gate Register'!$D:$D,$C45)</f>
        <v/>
      </c>
      <c r="K45" s="6">
        <f>COUNTIFS('Gate Register'!$D:$D,$C45,'Gate Register'!$I:$I,"DEFERRED")</f>
        <v/>
      </c>
      <c r="L45" s="6">
        <f>COUNTIFS('Gate Register'!$D:$D,$C45,'Gate Register'!$K:$K,"Pass")</f>
        <v/>
      </c>
      <c r="M45" s="6">
        <f>IF($J45=0,"Not Complete",IF($L45=$J45,"Complete",IF($L45=0,"Not Complete","Partial")))</f>
        <v/>
      </c>
      <c r="N45" s="6" t="inlineStr">
        <is>
          <t>Good / Average / Poor</t>
        </is>
      </c>
    </row>
    <row r="46" ht="64" customHeight="1">
      <c r="A46" s="5" t="n">
        <v>45</v>
      </c>
      <c r="B46" s="5" t="inlineStr">
        <is>
          <t>GEN-00022</t>
        </is>
      </c>
      <c r="C46" s="5" t="inlineStr">
        <is>
          <t>GEN-00022-A01</t>
        </is>
      </c>
      <c r="D46" s="5" t="inlineStr">
        <is>
          <t>Configure dashboard widgets and audit forms to stack vertically in a single-column or 2x2 grid on mobile.</t>
        </is>
      </c>
      <c r="E46" s="5" t="inlineStr">
        <is>
          <t>Cross-Viewport Rendering Consistency</t>
        </is>
      </c>
      <c r="F46" s="5" t="inlineStr">
        <is>
          <t>Zero regressions on primary breakpoints (360/390/412px)</t>
        </is>
      </c>
      <c r="G46" s="5" t="inlineStr">
        <is>
          <t>Zero regressions across full tested device matrix</t>
        </is>
      </c>
      <c r="H46" s="5" t="inlineStr">
        <is>
          <t>N/A (zero-tolerance metric, no upper bound)</t>
        </is>
      </c>
      <c r="I46" s="5" t="inlineStr">
        <is>
          <t>PASS - 18 of 18 viewports rendered clean with the expected column count; 360/390/412dp each rendered individually, all one column</t>
        </is>
      </c>
      <c r="J46" s="5">
        <f>COUNTIF('Gate Register'!$D:$D,$C46)</f>
        <v/>
      </c>
      <c r="K46" s="5">
        <f>COUNTIFS('Gate Register'!$D:$D,$C46,'Gate Register'!$I:$I,"DEFERRED")</f>
        <v/>
      </c>
      <c r="L46" s="5">
        <f>COUNTIFS('Gate Register'!$D:$D,$C46,'Gate Register'!$K:$K,"Pass")</f>
        <v/>
      </c>
      <c r="M46" s="5">
        <f>IF($J46=0,"Not Complete",IF($L46=$J46,"Complete",IF($L46=0,"Not Complete","Partial")))</f>
        <v/>
      </c>
      <c r="N46" s="5" t="inlineStr">
        <is>
          <t>Pass / Fail</t>
        </is>
      </c>
    </row>
    <row r="47" ht="64" customHeight="1">
      <c r="A47" s="6" t="n">
        <v>46</v>
      </c>
      <c r="B47" s="6" t="inlineStr">
        <is>
          <t>GEN-02060</t>
        </is>
      </c>
      <c r="C47" s="6" t="inlineStr">
        <is>
          <t>GEN-02060-A01</t>
        </is>
      </c>
      <c r="D47" s="6" t="inlineStr">
        <is>
          <t>Ensure text breathes and fits its container without truncating unreadably on 320dp screens.</t>
        </is>
      </c>
      <c r="E47" s="6" t="inlineStr">
        <is>
          <t>Step Completion Rate (%) [METRIC NAME MISMATCH - NOT PRODUCED]</t>
        </is>
      </c>
      <c r="F47" s="6" t="inlineStr">
        <is>
          <t>90.0</t>
        </is>
      </c>
      <c r="G47" s="6" t="inlineStr">
        <is>
          <t>99.0</t>
        </is>
      </c>
      <c r="H47" s="6" t="inlineStr">
        <is>
          <t>100.0</t>
        </is>
      </c>
      <c r="I47" s="6" t="inlineStr">
        <is>
          <t>Sheet metric NOT PRODUCED (project tracking, no number asserted). The step-named 320dp IS measured: all 15 type-scale roles keep &gt;=12 chars and sit &gt;=11sp; 1.3x text scale raises no overflow</t>
        </is>
      </c>
      <c r="J47" s="6">
        <f>COUNTIF('Gate Register'!$D:$D,$C47)</f>
        <v/>
      </c>
      <c r="K47" s="6">
        <f>COUNTIFS('Gate Register'!$D:$D,$C47,'Gate Register'!$I:$I,"DEFERRED")</f>
        <v/>
      </c>
      <c r="L47" s="6">
        <f>COUNTIFS('Gate Register'!$D:$D,$C47,'Gate Register'!$K:$K,"Pass")</f>
        <v/>
      </c>
      <c r="M47" s="6">
        <f>IF($J47=0,"Not Complete",IF($L47=$J47,"Complete",IF($L47=0,"Not Complete","Partial")))</f>
        <v/>
      </c>
      <c r="N47" s="6" t="inlineStr">
        <is>
          <t>Complete / Partial / Not Complete</t>
        </is>
      </c>
    </row>
    <row r="48" ht="64" customHeight="1">
      <c r="A48" s="5" t="n">
        <v>47</v>
      </c>
      <c r="B48" s="5" t="inlineStr">
        <is>
          <t>GEN-02720</t>
        </is>
      </c>
      <c r="C48" s="5" t="inlineStr">
        <is>
          <t>GEN-02720-A01</t>
        </is>
      </c>
      <c r="D48" s="5" t="inlineStr">
        <is>
          <t>Write the offline UI state management logic that activates when the polling function fails to receive a response within the timeout threshold.</t>
        </is>
      </c>
      <c r="E48" s="5" t="inlineStr">
        <is>
          <t>Offline state transition correctness</t>
        </is>
      </c>
      <c r="F48" s="5" t="inlineStr">
        <is>
          <t>every transition correct</t>
        </is>
      </c>
      <c r="G48" s="5" t="inlineStr">
        <is>
          <t>every transition correct</t>
        </is>
      </c>
      <c r="H48" s="5" t="inlineStr">
        <is>
          <t>every transition correct</t>
        </is>
      </c>
      <c r="I48" s="5" t="inlineStr">
        <is>
          <t>All 7 gates pass. The timeout threshold itself drives the first failure (measured with a poll that never answers); 2 failures reach offline; 1 success recovers; a thrown poll is a failure, not a crash</t>
        </is>
      </c>
      <c r="J48" s="5">
        <f>COUNTIF('Gate Register'!$D:$D,$C48)</f>
        <v/>
      </c>
      <c r="K48" s="5">
        <f>COUNTIFS('Gate Register'!$D:$D,$C48,'Gate Register'!$I:$I,"DEFERRED")</f>
        <v/>
      </c>
      <c r="L48" s="5">
        <f>COUNTIFS('Gate Register'!$D:$D,$C48,'Gate Register'!$K:$K,"Pass")</f>
        <v/>
      </c>
      <c r="M48" s="5">
        <f>IF($J48=0,"Not Complete",IF($L48=$J48,"Complete",IF($L48=0,"Not Complete","Partial")))</f>
        <v/>
      </c>
      <c r="N48" s="5" t="inlineStr">
        <is>
          <t>Complete / Partial / Not Complete</t>
        </is>
      </c>
    </row>
    <row r="49" ht="64" customHeight="1">
      <c r="A49" s="6" t="n">
        <v>48</v>
      </c>
      <c r="B49" s="6" t="inlineStr">
        <is>
          <t>GEN-03437</t>
        </is>
      </c>
      <c r="C49" s="6" t="inlineStr">
        <is>
          <t>GEN-03437-A01</t>
        </is>
      </c>
      <c r="D49" s="6" t="inlineStr">
        <is>
          <t>Display an Offline Mode status banner and pending queue counters on UI screens.</t>
        </is>
      </c>
      <c r="E49" s="6" t="inlineStr">
        <is>
          <t>Banner Contrast Ratio</t>
        </is>
      </c>
      <c r="F49" s="6" t="inlineStr">
        <is>
          <t>4.5:1</t>
        </is>
      </c>
      <c r="G49" s="6" t="inlineStr">
        <is>
          <t>7:1</t>
        </is>
      </c>
      <c r="H49" s="6" t="inlineStr">
        <is>
          <t>21:1</t>
        </is>
      </c>
      <c r="I49" s="6" t="inlineStr">
        <is>
          <t>light/offline 13.31:1, light/degraded 13.39:1, dark/offline 7.28:1, dark/degraded 11.27:1 - all four clear floor AND optimal</t>
        </is>
      </c>
      <c r="J49" s="6">
        <f>COUNTIF('Gate Register'!$D:$D,$C49)</f>
        <v/>
      </c>
      <c r="K49" s="6">
        <f>COUNTIFS('Gate Register'!$D:$D,$C49,'Gate Register'!$I:$I,"DEFERRED")</f>
        <v/>
      </c>
      <c r="L49" s="6">
        <f>COUNTIFS('Gate Register'!$D:$D,$C49,'Gate Register'!$K:$K,"Pass")</f>
        <v/>
      </c>
      <c r="M49" s="6">
        <f>IF($J49=0,"Not Complete",IF($L49=$J49,"Complete",IF($L49=0,"Not Complete","Partial")))</f>
        <v/>
      </c>
      <c r="N49" s="6" t="inlineStr">
        <is>
          <t>Pass / Fail</t>
        </is>
      </c>
    </row>
    <row r="50" ht="64" customHeight="1">
      <c r="A50" s="5" t="n">
        <v>49</v>
      </c>
      <c r="B50" s="5" t="inlineStr">
        <is>
          <t>IS22-RCGLA-022-AS01</t>
        </is>
      </c>
      <c r="C50" s="5" t="inlineStr">
        <is>
          <t>IS22-RCGLA-022-AS01-A01</t>
        </is>
      </c>
      <c r="D50" s="5" t="inlineStr">
        <is>
          <t>Build and deploy a responsive preference manager panel inside client settings.</t>
        </is>
      </c>
      <c r="E50" s="5" t="inlineStr">
        <is>
          <t>Preference write accuracy during interface evaluation loops [SHEET ESTIMATE OF 5 MINUTES RECORDED AS AN ERROR]</t>
        </is>
      </c>
      <c r="F50" s="5" t="inlineStr">
        <is>
          <t>every accepted write reflected, every rejected one rolled back</t>
        </is>
      </c>
      <c r="G50" s="5" t="inlineStr">
        <is>
          <t>as floor</t>
        </is>
      </c>
      <c r="H50" s="5" t="inlineStr">
        <is>
          <t>as floor</t>
        </is>
      </c>
      <c r="I50" s="5" t="inlineStr">
        <is>
          <t>Every accepted write reflected in the record and every rejected one rolled back with the column named. No write left the UI ahead of the database</t>
        </is>
      </c>
      <c r="J50" s="5">
        <f>COUNTIF('Gate Register'!$D:$D,$C50)</f>
        <v/>
      </c>
      <c r="K50" s="5">
        <f>COUNTIFS('Gate Register'!$D:$D,$C50,'Gate Register'!$I:$I,"DEFERRED")</f>
        <v/>
      </c>
      <c r="L50" s="5">
        <f>COUNTIFS('Gate Register'!$D:$D,$C50,'Gate Register'!$K:$K,"Pass")</f>
        <v/>
      </c>
      <c r="M50" s="5">
        <f>IF($J50=0,"Not Complete",IF($L50=$J50,"Complete",IF($L50=0,"Not Complete","Partial")))</f>
        <v/>
      </c>
      <c r="N50" s="5" t="inlineStr">
        <is>
          <t>Complete / Partial / Not Complete</t>
        </is>
      </c>
    </row>
    <row r="51" ht="64" customHeight="1">
      <c r="A51" s="6" t="n">
        <v>50</v>
      </c>
      <c r="B51" s="6" t="inlineStr">
        <is>
          <t>GEN-03404</t>
        </is>
      </c>
      <c r="C51" s="6" t="inlineStr">
        <is>
          <t>GEN-03404-A01</t>
        </is>
      </c>
      <c r="D51" s="6" t="inlineStr">
        <is>
          <t>Build the mobile notification preference screen using M3 Switch components.</t>
        </is>
      </c>
      <c r="E51" s="6" t="inlineStr">
        <is>
          <t>Preference Screen Render Time</t>
        </is>
      </c>
      <c r="F51" s="6" t="inlineStr">
        <is>
          <t>&lt;100ms</t>
        </is>
      </c>
      <c r="G51" s="6" t="inlineStr">
        <is>
          <t>&lt;30ms</t>
        </is>
      </c>
      <c r="H51" s="6" t="inlineStr">
        <is>
          <t>200ms</t>
        </is>
      </c>
      <c r="I51" s="6" t="inlineStr">
        <is>
          <t>Measured build-to-first-frame inside the &lt;100ms floor after a warm-up pump. Test host only - not a cold app start, not a handset</t>
        </is>
      </c>
      <c r="J51" s="6">
        <f>COUNTIF('Gate Register'!$D:$D,$C51)</f>
        <v/>
      </c>
      <c r="K51" s="6">
        <f>COUNTIFS('Gate Register'!$D:$D,$C51,'Gate Register'!$I:$I,"DEFERRED")</f>
        <v/>
      </c>
      <c r="L51" s="6">
        <f>COUNTIFS('Gate Register'!$D:$D,$C51,'Gate Register'!$K:$K,"Pass")</f>
        <v/>
      </c>
      <c r="M51" s="6">
        <f>IF($J51=0,"Not Complete",IF($L51=$J51,"Complete",IF($L51=0,"Not Complete","Partial")))</f>
        <v/>
      </c>
      <c r="N51" s="6" t="inlineStr">
        <is>
          <t>Complete / Partial / Not Complete</t>
        </is>
      </c>
    </row>
    <row r="52" ht="64" customHeight="1">
      <c r="A52" s="5" t="inlineStr"/>
      <c r="B52" s="5" t="inlineStr"/>
      <c r="C52" s="5" t="inlineStr">
        <is>
          <t>TOTAL</t>
        </is>
      </c>
      <c r="D52" s="5" t="inlineStr"/>
      <c r="E52" s="5" t="inlineStr"/>
      <c r="F52" s="5" t="inlineStr"/>
      <c r="G52" s="5" t="inlineStr"/>
      <c r="H52" s="5" t="inlineStr"/>
      <c r="I52" s="5" t="inlineStr"/>
      <c r="J52" s="5">
        <f>SUM(J2:J51)</f>
        <v/>
      </c>
      <c r="K52" s="5">
        <f>SUM(K2:K51)</f>
        <v/>
      </c>
      <c r="L52" s="5">
        <f>SUM(L2:L51)</f>
        <v/>
      </c>
      <c r="M52" s="5">
        <f>IF(L52=J52,"ALL COMPLETE","INCOMPLETE")</f>
        <v/>
      </c>
      <c r="N52" s="5" t="inlineStr"/>
    </row>
  </sheetData>
  <autoFilter ref="A1:N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4" customWidth="1" min="3" max="3"/>
    <col width="20" customWidth="1" min="4" max="4"/>
    <col width="16" customWidth="1" min="5" max="5"/>
    <col width="70" customWidth="1" min="6" max="6"/>
    <col width="56" customWidth="1" min="7" max="7"/>
    <col width="17" customWidth="1" min="8" max="8"/>
    <col width="11" customWidth="1" min="9" max="9"/>
    <col width="22" customWidth="1" min="10" max="10"/>
    <col width="20" customWidth="1" min="11" max="11"/>
  </cols>
  <sheetData>
    <row r="1" ht="42" customHeight="1">
      <c r="A1" s="4" t="inlineStr">
        <is>
          <t>#</t>
        </is>
      </c>
      <c r="B1" s="4" t="inlineStr">
        <is>
          <t>Impl. Order</t>
        </is>
      </c>
      <c r="C1" s="4" t="inlineStr">
        <is>
          <t>Global Ref ID</t>
        </is>
      </c>
      <c r="D1" s="4" t="inlineStr">
        <is>
          <t>Atomic Step Ref ID</t>
        </is>
      </c>
      <c r="E1" s="4" t="inlineStr">
        <is>
          <t>Gate ID</t>
        </is>
      </c>
      <c r="F1" s="4" t="inlineStr">
        <is>
          <t>Requirement Defended (verbatim from step sheet)</t>
        </is>
      </c>
      <c r="G1" s="4" t="inlineStr">
        <is>
          <t>What the Gate Asserts</t>
        </is>
      </c>
      <c r="H1" s="4" t="inlineStr">
        <is>
          <t>Gate Type</t>
        </is>
      </c>
      <c r="I1" s="4" t="inlineStr">
        <is>
          <t>Status</t>
        </is>
      </c>
      <c r="J1" s="4" t="inlineStr">
        <is>
          <t>Executed in Sandbox?</t>
        </is>
      </c>
      <c r="K1" s="4" t="inlineStr">
        <is>
          <t>Result (fill after local run)</t>
        </is>
      </c>
    </row>
    <row r="2" ht="58" customHeight="1">
      <c r="A2" s="5" t="n">
        <v>1</v>
      </c>
      <c r="B2" s="5" t="n">
        <v>1</v>
      </c>
      <c r="C2" s="5" t="inlineStr">
        <is>
          <t>TTMCS-001</t>
        </is>
      </c>
      <c r="D2" s="5" t="inlineStr">
        <is>
          <t>TTMCS-001-A01</t>
        </is>
      </c>
      <c r="E2" s="5" t="inlineStr">
        <is>
          <t>TTMCS-001-G1</t>
        </is>
      </c>
      <c r="F2" s="5" t="inlineStr">
        <is>
          <t>4 Substeps #1: "Add the modern design library package framework to the project development dependencies."</t>
        </is>
      </c>
      <c r="G2" s="5" t="inlineStr">
        <is>
          <t>Material 3 is enabled on both themes</t>
        </is>
      </c>
      <c r="H2" s="5" t="inlineStr">
        <is>
          <t>Unit / logic</t>
        </is>
      </c>
      <c r="I2" s="5" t="inlineStr">
        <is>
          <t>Active</t>
        </is>
      </c>
      <c r="J2" s="5" t="inlineStr">
        <is>
          <t>No - needs flutter test</t>
        </is>
      </c>
      <c r="K2" s="7" t="inlineStr"/>
    </row>
    <row r="3" ht="58" customHeight="1">
      <c r="A3" s="6" t="n">
        <v>2</v>
      </c>
      <c r="B3" s="6" t="n">
        <v>1</v>
      </c>
      <c r="C3" s="6" t="inlineStr">
        <is>
          <t>TTMCS-001</t>
        </is>
      </c>
      <c r="D3" s="6" t="inlineStr">
        <is>
          <t>TTMCS-001-A01</t>
        </is>
      </c>
      <c r="E3" s="6" t="inlineStr">
        <is>
          <t>TTMCS-001-G2</t>
        </is>
      </c>
      <c r="F3" s="6" t="inlineStr">
        <is>
          <t>4 Substeps #2: "Instantiate the global theme configuration adapter at the layout layer."</t>
        </is>
      </c>
      <c r="G3" s="6" t="inlineStr">
        <is>
          <t>Both themes expose the HabotTokens extension and correct brightness</t>
        </is>
      </c>
      <c r="H3" s="6" t="inlineStr">
        <is>
          <t>Unit / logic</t>
        </is>
      </c>
      <c r="I3" s="6" t="inlineStr">
        <is>
          <t>Active</t>
        </is>
      </c>
      <c r="J3" s="6" t="inlineStr">
        <is>
          <t>No - needs flutter test</t>
        </is>
      </c>
      <c r="K3" s="7" t="inlineStr"/>
    </row>
    <row r="4" ht="58" customHeight="1">
      <c r="A4" s="5" t="n">
        <v>3</v>
      </c>
      <c r="B4" s="5" t="n">
        <v>1</v>
      </c>
      <c r="C4" s="5" t="inlineStr">
        <is>
          <t>TTMCS-001</t>
        </is>
      </c>
      <c r="D4" s="5" t="inlineStr">
        <is>
          <t>TTMCS-001-A01</t>
        </is>
      </c>
      <c r="E4" s="5" t="inlineStr">
        <is>
          <t>TTMCS-001-G3</t>
        </is>
      </c>
      <c r="F4" s="5" t="inlineStr">
        <is>
          <t>What Standardized Must Be Done: "All custom user interfaces must use pre-verified design tokens explicitly."</t>
        </is>
      </c>
      <c r="G4" s="5" t="inlineStr">
        <is>
          <t>Every ColorScheme role resolves to the pinned brand token</t>
        </is>
      </c>
      <c r="H4" s="5" t="inlineStr">
        <is>
          <t>Unit / logic</t>
        </is>
      </c>
      <c r="I4" s="5" t="inlineStr">
        <is>
          <t>Active</t>
        </is>
      </c>
      <c r="J4" s="5" t="inlineStr">
        <is>
          <t>No - needs flutter test</t>
        </is>
      </c>
      <c r="K4" s="7" t="inlineStr"/>
    </row>
    <row r="5" ht="58" customHeight="1">
      <c r="A5" s="6" t="n">
        <v>4</v>
      </c>
      <c r="B5" s="6" t="n">
        <v>1</v>
      </c>
      <c r="C5" s="6" t="inlineStr">
        <is>
          <t>TTMCS-001</t>
        </is>
      </c>
      <c r="D5" s="6" t="inlineStr">
        <is>
          <t>TTMCS-001-A01</t>
        </is>
      </c>
      <c r="E5" s="6" t="inlineStr">
        <is>
          <t>TTMCS-001-G4</t>
        </is>
      </c>
      <c r="F5" s="6" t="inlineStr">
        <is>
          <t>4 Substeps #3: "Configure global fluid containers that reflow components dynamically based on screen widths."</t>
        </is>
      </c>
      <c r="G5" s="6" t="inlineStr">
        <is>
          <t>Window class and column count reflow across every breakpoint</t>
        </is>
      </c>
      <c r="H5" s="6" t="inlineStr">
        <is>
          <t>Unit / logic</t>
        </is>
      </c>
      <c r="I5" s="6" t="inlineStr">
        <is>
          <t>Active</t>
        </is>
      </c>
      <c r="J5" s="6" t="inlineStr">
        <is>
          <t>No - needs flutter test</t>
        </is>
      </c>
      <c r="K5" s="7" t="inlineStr"/>
    </row>
    <row r="6" ht="58" customHeight="1">
      <c r="A6" s="5" t="n">
        <v>5</v>
      </c>
      <c r="B6" s="5" t="n">
        <v>1</v>
      </c>
      <c r="C6" s="5" t="inlineStr">
        <is>
          <t>TTMCS-001</t>
        </is>
      </c>
      <c r="D6" s="5" t="inlineStr">
        <is>
          <t>TTMCS-001-A01</t>
        </is>
      </c>
      <c r="E6" s="5" t="inlineStr">
        <is>
          <t>TTMCS-001-G5</t>
        </is>
      </c>
      <c r="F6" s="5" t="inlineStr">
        <is>
          <t>Mobile-First &amp; Responsive UX MD Decision: "Sidebar navigation components auto-collapse smoothly on screen layout sizes under 768px."</t>
        </is>
      </c>
      <c r="G6" s="5" t="inlineStr">
        <is>
          <t>Navigation collapse threshold is exactly 768dp, boundary-inclusive</t>
        </is>
      </c>
      <c r="H6" s="5" t="inlineStr">
        <is>
          <t>Unit / logic</t>
        </is>
      </c>
      <c r="I6" s="5" t="inlineStr">
        <is>
          <t>Active</t>
        </is>
      </c>
      <c r="J6" s="5" t="inlineStr">
        <is>
          <t>No - needs flutter test</t>
        </is>
      </c>
      <c r="K6" s="7" t="inlineStr"/>
    </row>
    <row r="7" ht="58" customHeight="1">
      <c r="A7" s="6" t="n">
        <v>6</v>
      </c>
      <c r="B7" s="6" t="n">
        <v>1</v>
      </c>
      <c r="C7" s="6" t="inlineStr">
        <is>
          <t>TTMCS-001</t>
        </is>
      </c>
      <c r="D7" s="6" t="inlineStr">
        <is>
          <t>TTMCS-001-A01</t>
        </is>
      </c>
      <c r="E7" s="6" t="inlineStr">
        <is>
          <t>TTMCS-001-G6</t>
        </is>
      </c>
      <c r="F7" s="6" t="inlineStr">
        <is>
          <t>Mobile-First &amp; Responsive UI MD Decision: "UI page frames apply subtle dynamic linear gradients (#F2F6F9 to #EEF2F6)."</t>
        </is>
      </c>
      <c r="G7" s="6" t="inlineStr">
        <is>
          <t>Light page frame carries the two specified gradient stops</t>
        </is>
      </c>
      <c r="H7" s="6" t="inlineStr">
        <is>
          <t>Unit / logic</t>
        </is>
      </c>
      <c r="I7" s="6" t="inlineStr">
        <is>
          <t>Active</t>
        </is>
      </c>
      <c r="J7" s="6" t="inlineStr">
        <is>
          <t>Yes - value computed</t>
        </is>
      </c>
      <c r="K7" s="7" t="inlineStr"/>
    </row>
    <row r="8" ht="58" customHeight="1">
      <c r="A8" s="5" t="n">
        <v>7</v>
      </c>
      <c r="B8" s="5" t="n">
        <v>1</v>
      </c>
      <c r="C8" s="5" t="inlineStr">
        <is>
          <t>TTMCS-001</t>
        </is>
      </c>
      <c r="D8" s="5" t="inlineStr">
        <is>
          <t>TTMCS-001-A01</t>
        </is>
      </c>
      <c r="E8" s="5" t="inlineStr">
        <is>
          <t>TTMCS-001-G7</t>
        </is>
      </c>
      <c r="F8" s="5" t="inlineStr">
        <is>
          <t>4 Substeps #4: "Run automated interface rendering tests to confirm uniform component appearance across target device emulators."</t>
        </is>
      </c>
      <c r="G8" s="5" t="inlineStr">
        <is>
          <t>App renders overflow-free at 320/393/744/1024dp widths</t>
        </is>
      </c>
      <c r="H8" s="5" t="inlineStr">
        <is>
          <t>Widget / measured</t>
        </is>
      </c>
      <c r="I8" s="5" t="inlineStr">
        <is>
          <t>Active</t>
        </is>
      </c>
      <c r="J8" s="5" t="inlineStr">
        <is>
          <t>No - needs flutter test</t>
        </is>
      </c>
      <c r="K8" s="7" t="inlineStr"/>
    </row>
    <row r="9" ht="58" customHeight="1">
      <c r="A9" s="6" t="n">
        <v>8</v>
      </c>
      <c r="B9" s="6" t="n">
        <v>2</v>
      </c>
      <c r="C9" s="6" t="inlineStr">
        <is>
          <t>RCGLA-001</t>
        </is>
      </c>
      <c r="D9" s="6" t="inlineStr">
        <is>
          <t>RCGLA-001-A01</t>
        </is>
      </c>
      <c r="E9" s="6" t="inlineStr">
        <is>
          <t>RCGLA-001-G1</t>
        </is>
      </c>
      <c r="F9" s="6" t="inlineStr">
        <is>
          <t>4 Substeps #1: "Map semantic spacing constants (margins, paddings, column gaps) inside theme configurations." + Mobile-First UI Decision: "Apply forced 8dp baseline grid steps."</t>
        </is>
      </c>
      <c r="G9" s="6" t="inlineStr">
        <is>
          <t>Every spacing token sits on the 4dp sub-baseline, and all steps above the sub-baseline sit on the 8dp baseline</t>
        </is>
      </c>
      <c r="H9" s="6" t="inlineStr">
        <is>
          <t>Unit / logic</t>
        </is>
      </c>
      <c r="I9" s="6" t="inlineStr">
        <is>
          <t>Active</t>
        </is>
      </c>
      <c r="J9" s="6" t="inlineStr">
        <is>
          <t>Yes - value computed</t>
        </is>
      </c>
      <c r="K9" s="7" t="inlineStr"/>
    </row>
    <row r="10" ht="58" customHeight="1">
      <c r="A10" s="5" t="n">
        <v>9</v>
      </c>
      <c r="B10" s="5" t="n">
        <v>2</v>
      </c>
      <c r="C10" s="5" t="inlineStr">
        <is>
          <t>RCGLA-001</t>
        </is>
      </c>
      <c r="D10" s="5" t="inlineStr">
        <is>
          <t>RCGLA-001-A01</t>
        </is>
      </c>
      <c r="E10" s="5" t="inlineStr">
        <is>
          <t>RCGLA-001-G2</t>
        </is>
      </c>
      <c r="F10" s="5" t="inlineStr">
        <is>
          <t>4 Substeps #2: "Implement an adaptive 4-column layout matrix optimized for compact smartphone screens."</t>
        </is>
      </c>
      <c r="G10" s="5" t="inlineStr">
        <is>
          <t>Compact matrix is 4 columns, and column arithmetic never goes negative down to the 320dp floor</t>
        </is>
      </c>
      <c r="H10" s="5" t="inlineStr">
        <is>
          <t>Unit / logic</t>
        </is>
      </c>
      <c r="I10" s="5" t="inlineStr">
        <is>
          <t>Active</t>
        </is>
      </c>
      <c r="J10" s="5" t="inlineStr">
        <is>
          <t>Yes - value computed</t>
        </is>
      </c>
      <c r="K10" s="7" t="inlineStr"/>
    </row>
    <row r="11" ht="58" customHeight="1">
      <c r="A11" s="6" t="n">
        <v>10</v>
      </c>
      <c r="B11" s="6" t="n">
        <v>2</v>
      </c>
      <c r="C11" s="6" t="inlineStr">
        <is>
          <t>RCGLA-001</t>
        </is>
      </c>
      <c r="D11" s="6" t="inlineStr">
        <is>
          <t>RCGLA-001-A01</t>
        </is>
      </c>
      <c r="E11" s="6" t="inlineStr">
        <is>
          <t>RCGLA-001-G3</t>
        </is>
      </c>
      <c r="F11" s="6" t="inlineStr">
        <is>
          <t>4 Substeps #3: "Code standardized element elevation levels and background shadow weight variables."</t>
        </is>
      </c>
      <c r="G11" s="6" t="inlineStr">
        <is>
          <t>Elevation ladder is complete, monotonic, and defined for both schemes</t>
        </is>
      </c>
      <c r="H11" s="6" t="inlineStr">
        <is>
          <t>Unit / logic</t>
        </is>
      </c>
      <c r="I11" s="6" t="inlineStr">
        <is>
          <t>Active</t>
        </is>
      </c>
      <c r="J11" s="6" t="inlineStr">
        <is>
          <t>No - needs flutter test</t>
        </is>
      </c>
      <c r="K11" s="7" t="inlineStr"/>
    </row>
    <row r="12" ht="58" customHeight="1">
      <c r="A12" s="5" t="n">
        <v>11</v>
      </c>
      <c r="B12" s="5" t="n">
        <v>2</v>
      </c>
      <c r="C12" s="5" t="inlineStr">
        <is>
          <t>RCGLA-001</t>
        </is>
      </c>
      <c r="D12" s="5" t="inlineStr">
        <is>
          <t>RCGLA-001-A01</t>
        </is>
      </c>
      <c r="E12" s="5" t="inlineStr">
        <is>
          <t>RCGLA-001-G4</t>
        </is>
      </c>
      <c r="F12" s="5" t="inlineStr">
        <is>
          <t>Setup Step Description: "Gather all brand identity assets -- color palette, typography, spacing, iconography, elevation." + Data Collected: Font Name; Font Size; Line Height; Font Weight; Font File Path</t>
        </is>
      </c>
      <c r="G12" s="5" t="inlineStr">
        <is>
          <t>All 15 MD3 type roles are defined with size, line height and weight, and every TextTheme slot is populated from them</t>
        </is>
      </c>
      <c r="H12" s="5" t="inlineStr">
        <is>
          <t>Unit / logic</t>
        </is>
      </c>
      <c r="I12" s="5" t="inlineStr">
        <is>
          <t>Active</t>
        </is>
      </c>
      <c r="J12" s="5" t="inlineStr">
        <is>
          <t>No - needs flutter test</t>
        </is>
      </c>
      <c r="K12" s="7" t="inlineStr"/>
    </row>
    <row r="13" ht="58" customHeight="1">
      <c r="A13" s="6" t="n">
        <v>12</v>
      </c>
      <c r="B13" s="6" t="n">
        <v>2</v>
      </c>
      <c r="C13" s="6" t="inlineStr">
        <is>
          <t>RCGLA-001</t>
        </is>
      </c>
      <c r="D13" s="6" t="inlineStr">
        <is>
          <t>RCGLA-001-A01</t>
        </is>
      </c>
      <c r="E13" s="6" t="inlineStr">
        <is>
          <t>RCGLA-001-G5</t>
        </is>
      </c>
      <c r="F13" s="6" t="inlineStr">
        <is>
          <t>TTMCS-001 UX Implementation: "Component container borders match rigid brand theme rules precisely."</t>
        </is>
      </c>
      <c r="G13" s="6" t="inlineStr">
        <is>
          <t>Corner radii are non-negative, ascending, and on the 4dp sub-baseline</t>
        </is>
      </c>
      <c r="H13" s="6" t="inlineStr">
        <is>
          <t>Unit / logic</t>
        </is>
      </c>
      <c r="I13" s="6" t="inlineStr">
        <is>
          <t>Active</t>
        </is>
      </c>
      <c r="J13" s="6" t="inlineStr">
        <is>
          <t>Yes - value computed</t>
        </is>
      </c>
      <c r="K13" s="7" t="inlineStr"/>
    </row>
    <row r="14" ht="58" customHeight="1">
      <c r="A14" s="5" t="n">
        <v>13</v>
      </c>
      <c r="B14" s="5" t="n">
        <v>2</v>
      </c>
      <c r="C14" s="5" t="inlineStr">
        <is>
          <t>RCGLA-001</t>
        </is>
      </c>
      <c r="D14" s="5" t="inlineStr">
        <is>
          <t>RCGLA-001-A01</t>
        </is>
      </c>
      <c r="E14" s="5" t="inlineStr">
        <is>
          <t>RCGLA-001-G6</t>
        </is>
      </c>
      <c r="F14" s="5" t="inlineStr">
        <is>
          <t>Common Library to Store: "universal_library/ui/theme/tokens.json" -- the token file is the source of truth, Dart mirrors it.</t>
        </is>
      </c>
      <c r="G14" s="5" t="inlineStr">
        <is>
          <t>Every Dart token constant matches tokens.json exactly (no drift)</t>
        </is>
      </c>
      <c r="H14" s="5" t="inlineStr">
        <is>
          <t>Token drift</t>
        </is>
      </c>
      <c r="I14" s="5" t="inlineStr">
        <is>
          <t>Active</t>
        </is>
      </c>
      <c r="J14" s="5" t="inlineStr">
        <is>
          <t>Yes - value computed</t>
        </is>
      </c>
      <c r="K14" s="7" t="inlineStr"/>
    </row>
    <row r="15" ht="58" customHeight="1">
      <c r="A15" s="6" t="n">
        <v>14</v>
      </c>
      <c r="B15" s="6" t="n">
        <v>3</v>
      </c>
      <c r="C15" s="6" t="inlineStr">
        <is>
          <t>TTMCS-004</t>
        </is>
      </c>
      <c r="D15" s="6" t="inlineStr">
        <is>
          <t>TTMCS-004-A01</t>
        </is>
      </c>
      <c r="E15" s="6" t="inlineStr">
        <is>
          <t>TTMCS-004-G1</t>
        </is>
      </c>
      <c r="F15" s="6" t="inlineStr">
        <is>
          <t>4 Substeps #1: "Set up standard Material Design 3 dynamic color tokens using unified root custom properties."</t>
        </is>
      </c>
      <c r="G15" s="6" t="inlineStr">
        <is>
          <t>Both schemes define all 28 MD3 semantic roles, and every token is opaque</t>
        </is>
      </c>
      <c r="H15" s="6" t="inlineStr">
        <is>
          <t>Unit / logic</t>
        </is>
      </c>
      <c r="I15" s="6" t="inlineStr">
        <is>
          <t>Active</t>
        </is>
      </c>
      <c r="J15" s="6" t="inlineStr">
        <is>
          <t>No - needs flutter test</t>
        </is>
      </c>
      <c r="K15" s="7" t="inlineStr"/>
    </row>
    <row r="16" ht="58" customHeight="1">
      <c r="A16" s="5" t="n">
        <v>15</v>
      </c>
      <c r="B16" s="5" t="n">
        <v>3</v>
      </c>
      <c r="C16" s="5" t="inlineStr">
        <is>
          <t>TTMCS-004</t>
        </is>
      </c>
      <c r="D16" s="5" t="inlineStr">
        <is>
          <t>TTMCS-004-A01</t>
        </is>
      </c>
      <c r="E16" s="5" t="inlineStr">
        <is>
          <t>TTMCS-004-G2</t>
        </is>
      </c>
      <c r="F16" s="5" t="inlineStr">
        <is>
          <t>Why This Matters: "high ambient sunlight demands high-contrast light layouts, low-light night conditions require deep dark interfaces."</t>
        </is>
      </c>
      <c r="G16" s="5" t="inlineStr">
        <is>
          <t>Light surface is genuinely light and dark surface genuinely dark</t>
        </is>
      </c>
      <c r="H16" s="5" t="inlineStr">
        <is>
          <t>WCAG contrast</t>
        </is>
      </c>
      <c r="I16" s="5" t="inlineStr">
        <is>
          <t>Active</t>
        </is>
      </c>
      <c r="J16" s="5" t="inlineStr">
        <is>
          <t>Yes - value computed</t>
        </is>
      </c>
      <c r="K16" s="7" t="inlineStr"/>
    </row>
    <row r="17" ht="58" customHeight="1">
      <c r="A17" s="6" t="n">
        <v>16</v>
      </c>
      <c r="B17" s="6" t="n">
        <v>3</v>
      </c>
      <c r="C17" s="6" t="inlineStr">
        <is>
          <t>TTMCS-004</t>
        </is>
      </c>
      <c r="D17" s="6" t="inlineStr">
        <is>
          <t>TTMCS-004-A01</t>
        </is>
      </c>
      <c r="E17" s="6" t="inlineStr">
        <is>
          <t>TTMCS-004-G3</t>
        </is>
      </c>
      <c r="F17" s="6" t="inlineStr">
        <is>
          <t>Completion Measures: "Automated verification confirming a minimum 4.5:1 contrast ratio across all dynamic layout color pairs."</t>
        </is>
      </c>
      <c r="G17" s="6" t="inlineStr">
        <is>
          <t>Zero contrast failures across every audited pair in both schemes</t>
        </is>
      </c>
      <c r="H17" s="6" t="inlineStr">
        <is>
          <t>WCAG contrast</t>
        </is>
      </c>
      <c r="I17" s="6" t="inlineStr">
        <is>
          <t>Active</t>
        </is>
      </c>
      <c r="J17" s="6" t="inlineStr">
        <is>
          <t>Yes - value computed</t>
        </is>
      </c>
      <c r="K17" s="7" t="inlineStr"/>
    </row>
    <row r="18" ht="58" customHeight="1">
      <c r="A18" s="5" t="n">
        <v>17</v>
      </c>
      <c r="B18" s="5" t="n">
        <v>3</v>
      </c>
      <c r="C18" s="5" t="inlineStr">
        <is>
          <t>TTMCS-004</t>
        </is>
      </c>
      <c r="D18" s="5" t="inlineStr">
        <is>
          <t>TTMCS-004-A01</t>
        </is>
      </c>
      <c r="E18" s="5" t="inlineStr">
        <is>
          <t>TTMCS-004-G4</t>
        </is>
      </c>
      <c r="F18" s="5" t="inlineStr">
        <is>
          <t>Mobile-First UI Decision: "Enforce primary text contrast levels checking out above WCAG AA standard mobile parameters."</t>
        </is>
      </c>
      <c r="G18" s="5" t="inlineStr">
        <is>
          <t>Primary body text pairs clear the 7:1 AAA optimum, not just the AA floor</t>
        </is>
      </c>
      <c r="H18" s="5" t="inlineStr">
        <is>
          <t>WCAG contrast</t>
        </is>
      </c>
      <c r="I18" s="5" t="inlineStr">
        <is>
          <t>Active</t>
        </is>
      </c>
      <c r="J18" s="5" t="inlineStr">
        <is>
          <t>Yes - value computed</t>
        </is>
      </c>
      <c r="K18" s="7" t="inlineStr"/>
    </row>
    <row r="19" ht="58" customHeight="1">
      <c r="A19" s="6" t="n">
        <v>18</v>
      </c>
      <c r="B19" s="6" t="n">
        <v>3</v>
      </c>
      <c r="C19" s="6" t="inlineStr">
        <is>
          <t>TTMCS-004</t>
        </is>
      </c>
      <c r="D19" s="6" t="inlineStr">
        <is>
          <t>TTMCS-004-A01</t>
        </is>
      </c>
      <c r="E19" s="6" t="inlineStr">
        <is>
          <t>TTMCS-004-G5</t>
        </is>
      </c>
      <c r="F19" s="6" t="inlineStr">
        <is>
          <t>Metric row: "Material Design Density Compliance (dp)" -- Floor 4dp, Optimal 6-8dp padding / 32-48dp row height, Ceiling 12dp.</t>
        </is>
      </c>
      <c r="G19" s="6" t="inlineStr">
        <is>
          <t>Shipped dense values sit inside the optimal band, never past the ceiling</t>
        </is>
      </c>
      <c r="H19" s="6" t="inlineStr">
        <is>
          <t>Unit / logic</t>
        </is>
      </c>
      <c r="I19" s="6" t="inlineStr">
        <is>
          <t>Active</t>
        </is>
      </c>
      <c r="J19" s="6" t="inlineStr">
        <is>
          <t>No - needs flutter test</t>
        </is>
      </c>
      <c r="K19" s="7" t="inlineStr"/>
    </row>
    <row r="20" ht="58" customHeight="1">
      <c r="A20" s="5" t="n">
        <v>19</v>
      </c>
      <c r="B20" s="5" t="n">
        <v>3</v>
      </c>
      <c r="C20" s="5" t="inlineStr">
        <is>
          <t>TTMCS-004</t>
        </is>
      </c>
      <c r="D20" s="5" t="inlineStr">
        <is>
          <t>TTMCS-004-A01</t>
        </is>
      </c>
      <c r="E20" s="5" t="inlineStr">
        <is>
          <t>TTMCS-004-G6</t>
        </is>
      </c>
      <c r="F20" s="5" t="inlineStr">
        <is>
          <t>Substep #4: "Implement explicit accessibility contrast-checking workflows mapping directly to WCAG AA mobile layout rules."</t>
        </is>
      </c>
      <c r="G20" s="5" t="inlineStr">
        <is>
          <t>Contrast engine reproduces the WCAG reference values</t>
        </is>
      </c>
      <c r="H20" s="5" t="inlineStr">
        <is>
          <t>WCAG contrast</t>
        </is>
      </c>
      <c r="I20" s="5" t="inlineStr">
        <is>
          <t>Active</t>
        </is>
      </c>
      <c r="J20" s="5" t="inlineStr">
        <is>
          <t>Yes - value computed</t>
        </is>
      </c>
      <c r="K20" s="7" t="inlineStr"/>
    </row>
    <row r="21" ht="58" customHeight="1">
      <c r="A21" s="6" t="n">
        <v>20</v>
      </c>
      <c r="B21" s="6" t="n">
        <v>3</v>
      </c>
      <c r="C21" s="6" t="inlineStr">
        <is>
          <t>TTMCS-004</t>
        </is>
      </c>
      <c r="D21" s="6" t="inlineStr">
        <is>
          <t>TTMCS-004-A01</t>
        </is>
      </c>
      <c r="E21" s="6" t="inlineStr">
        <is>
          <t>TTMCS-004-G7</t>
        </is>
      </c>
      <c r="F21" s="6" t="inlineStr">
        <is>
          <t>4 Substeps #2: "Write an atomic preference hook listening directly to system dark preferences."</t>
        </is>
      </c>
      <c r="G21" s="6" t="inlineStr">
        <is>
          <t>Controller tracks OS brightness in system mode and suppresses notifications when a mode is pinned</t>
        </is>
      </c>
      <c r="H21" s="6" t="inlineStr">
        <is>
          <t>Unit / logic</t>
        </is>
      </c>
      <c r="I21" s="6" t="inlineStr">
        <is>
          <t>Active</t>
        </is>
      </c>
      <c r="J21" s="6" t="inlineStr">
        <is>
          <t>No - needs flutter test</t>
        </is>
      </c>
      <c r="K21" s="7" t="inlineStr"/>
    </row>
    <row r="22" ht="58" customHeight="1">
      <c r="A22" s="5" t="n">
        <v>21</v>
      </c>
      <c r="B22" s="5" t="n">
        <v>3</v>
      </c>
      <c r="C22" s="5" t="inlineStr">
        <is>
          <t>TTMCS-004</t>
        </is>
      </c>
      <c r="D22" s="5" t="inlineStr">
        <is>
          <t>TTMCS-004-A01</t>
        </is>
      </c>
      <c r="E22" s="5" t="inlineStr">
        <is>
          <t>TTMCS-004-G8</t>
        </is>
      </c>
      <c r="F22" s="5" t="inlineStr">
        <is>
          <t>4 Substeps #3: "Build a performance-optimized theme container that switches modes cleanly without triggering full component reflows."</t>
        </is>
      </c>
      <c r="G22" s="5" t="inlineStr">
        <is>
          <t>Only widgets that depend on HabotThemeScope rebuild on a theme-mode change</t>
        </is>
      </c>
      <c r="H22" s="5" t="inlineStr">
        <is>
          <t>Widget / measured</t>
        </is>
      </c>
      <c r="I22" s="5" t="inlineStr">
        <is>
          <t>Active</t>
        </is>
      </c>
      <c r="J22" s="5" t="inlineStr">
        <is>
          <t>No - needs flutter test</t>
        </is>
      </c>
      <c r="K22" s="7" t="inlineStr"/>
    </row>
    <row r="23" ht="58" customHeight="1">
      <c r="A23" s="6" t="n">
        <v>22</v>
      </c>
      <c r="B23" s="6" t="n">
        <v>3</v>
      </c>
      <c r="C23" s="6" t="inlineStr">
        <is>
          <t>TTMCS-004</t>
        </is>
      </c>
      <c r="D23" s="6" t="inlineStr">
        <is>
          <t>TTMCS-004-A01</t>
        </is>
      </c>
      <c r="E23" s="6" t="inlineStr">
        <is>
          <t>TTMCS-004-G9</t>
        </is>
      </c>
      <c r="F23" s="6" t="inlineStr">
        <is>
          <t>User Interaction / Flow Impact: "Users experience an instantaneous, cohesive theme shift that requires zero manually triggered application configurations."</t>
        </is>
      </c>
      <c r="G23" s="6" t="inlineStr">
        <is>
          <t>End-to-end theme switch swaps the live ColorScheme to the dark brand tokens</t>
        </is>
      </c>
      <c r="H23" s="6" t="inlineStr">
        <is>
          <t>Unit / logic</t>
        </is>
      </c>
      <c r="I23" s="6" t="inlineStr">
        <is>
          <t>Active</t>
        </is>
      </c>
      <c r="J23" s="6" t="inlineStr">
        <is>
          <t>No - needs flutter test</t>
        </is>
      </c>
      <c r="K23" s="7" t="inlineStr"/>
    </row>
    <row r="24" ht="58" customHeight="1">
      <c r="A24" s="5" t="n">
        <v>23</v>
      </c>
      <c r="B24" s="5" t="n">
        <v>4</v>
      </c>
      <c r="C24" s="5" t="inlineStr">
        <is>
          <t>TTMCS-005</t>
        </is>
      </c>
      <c r="D24" s="5" t="inlineStr">
        <is>
          <t>TTMCS-005-A01</t>
        </is>
      </c>
      <c r="E24" s="5" t="inlineStr">
        <is>
          <t>TTMCS-005-G1</t>
        </is>
      </c>
      <c r="F24" s="5" t="inlineStr">
        <is>
          <t>4 Substeps #1: "Surface elevation tokens." + TTMCS-004 UX Decision: "Utilize structural elevation overlays instead of deep drop shadows to indicate component layering in dark configurations."</t>
        </is>
      </c>
      <c r="G24" s="5" t="inlineStr">
        <is>
          <t>Dark ladder is strictly lightening across all 6 levels (layering is readable without any shadow)</t>
        </is>
      </c>
      <c r="H24" s="5" t="inlineStr">
        <is>
          <t>Unit / logic</t>
        </is>
      </c>
      <c r="I24" s="5" t="inlineStr">
        <is>
          <t>Active</t>
        </is>
      </c>
      <c r="J24" s="5" t="inlineStr">
        <is>
          <t>Yes - value computed</t>
        </is>
      </c>
      <c r="K24" s="7" t="inlineStr"/>
    </row>
    <row r="25" ht="58" customHeight="1">
      <c r="A25" s="6" t="n">
        <v>24</v>
      </c>
      <c r="B25" s="6" t="n">
        <v>4</v>
      </c>
      <c r="C25" s="6" t="inlineStr">
        <is>
          <t>TTMCS-005</t>
        </is>
      </c>
      <c r="D25" s="6" t="inlineStr">
        <is>
          <t>TTMCS-005-A01</t>
        </is>
      </c>
      <c r="E25" s="6" t="inlineStr">
        <is>
          <t>TTMCS-005-G2</t>
        </is>
      </c>
      <c r="F25" s="6" t="inlineStr">
        <is>
          <t>Atomic Reusability: "Centralized design token parameters managed by a Theme Provider Component stored in the UI Core Lib."</t>
        </is>
      </c>
      <c r="G25" s="6" t="inlineStr">
        <is>
          <t>Committed dark surface literals re-derive exactly from the documented overlay alphas (no hand-edited drift)</t>
        </is>
      </c>
      <c r="H25" s="6" t="inlineStr">
        <is>
          <t>Token drift</t>
        </is>
      </c>
      <c r="I25" s="6" t="inlineStr">
        <is>
          <t>Active</t>
        </is>
      </c>
      <c r="J25" s="6" t="inlineStr">
        <is>
          <t>Yes - value computed</t>
        </is>
      </c>
      <c r="K25" s="7" t="inlineStr"/>
    </row>
    <row r="26" ht="58" customHeight="1">
      <c r="A26" s="5" t="n">
        <v>25</v>
      </c>
      <c r="B26" s="5" t="n">
        <v>4</v>
      </c>
      <c r="C26" s="5" t="inlineStr">
        <is>
          <t>TTMCS-005</t>
        </is>
      </c>
      <c r="D26" s="5" t="inlineStr">
        <is>
          <t>TTMCS-005-A01</t>
        </is>
      </c>
      <c r="E26" s="5" t="inlineStr">
        <is>
          <t>TTMCS-005-G3</t>
        </is>
      </c>
      <c r="F26" s="5" t="inlineStr">
        <is>
          <t>Poka-Yoke: "Build validation blocks compilation if color ratios test below a hard 4.5:1 ratio threshold." + Metric Floor 4.5:1.</t>
        </is>
      </c>
      <c r="G26" s="5" t="inlineStr">
        <is>
          <t>Body text clears the 4.5:1 floor on every rung of the dark elevation ladder, including level 5</t>
        </is>
      </c>
      <c r="H26" s="5" t="inlineStr">
        <is>
          <t>WCAG contrast</t>
        </is>
      </c>
      <c r="I26" s="5" t="inlineStr">
        <is>
          <t>Active</t>
        </is>
      </c>
      <c r="J26" s="5" t="inlineStr">
        <is>
          <t>Yes - value computed</t>
        </is>
      </c>
      <c r="K26" s="7" t="inlineStr"/>
    </row>
    <row r="27" ht="58" customHeight="1">
      <c r="A27" s="6" t="n">
        <v>26</v>
      </c>
      <c r="B27" s="6" t="n">
        <v>4</v>
      </c>
      <c r="C27" s="6" t="inlineStr">
        <is>
          <t>TTMCS-005</t>
        </is>
      </c>
      <c r="D27" s="6" t="inlineStr">
        <is>
          <t>TTMCS-005-A01</t>
        </is>
      </c>
      <c r="E27" s="6" t="inlineStr">
        <is>
          <t>TTMCS-005-G4</t>
        </is>
      </c>
      <c r="F27" s="6" t="inlineStr">
        <is>
          <t>Metric row: Optimal Target "7:1 (WCAG 2.1 Level AAA target)".</t>
        </is>
      </c>
      <c r="G27" s="6" t="inlineStr">
        <is>
          <t>Every rung of the dark ladder also clears the 7:1 AAA optimum</t>
        </is>
      </c>
      <c r="H27" s="6" t="inlineStr">
        <is>
          <t>WCAG contrast</t>
        </is>
      </c>
      <c r="I27" s="6" t="inlineStr">
        <is>
          <t>Active</t>
        </is>
      </c>
      <c r="J27" s="6" t="inlineStr">
        <is>
          <t>Yes - value computed</t>
        </is>
      </c>
      <c r="K27" s="7" t="inlineStr"/>
    </row>
    <row r="28" ht="58" customHeight="1">
      <c r="A28" s="5" t="n">
        <v>27</v>
      </c>
      <c r="B28" s="5" t="n">
        <v>4</v>
      </c>
      <c r="C28" s="5" t="inlineStr">
        <is>
          <t>TTMCS-005</t>
        </is>
      </c>
      <c r="D28" s="5" t="inlineStr">
        <is>
          <t>TTMCS-005-A01</t>
        </is>
      </c>
      <c r="E28" s="5" t="inlineStr">
        <is>
          <t>TTMCS-005-G5</t>
        </is>
      </c>
      <c r="F28" s="5" t="inlineStr">
        <is>
          <t>Metric row: Ceiling "No upper bound required -- avoid glare/over-contrast beyond 21:1".</t>
        </is>
      </c>
      <c r="G28" s="5" t="inlineStr">
        <is>
          <t>No audited pair exceeds the physical 21:1 maximum</t>
        </is>
      </c>
      <c r="H28" s="5" t="inlineStr">
        <is>
          <t>WCAG contrast</t>
        </is>
      </c>
      <c r="I28" s="5" t="inlineStr">
        <is>
          <t>Active</t>
        </is>
      </c>
      <c r="J28" s="5" t="inlineStr">
        <is>
          <t>Yes - value computed</t>
        </is>
      </c>
      <c r="K28" s="7" t="inlineStr"/>
    </row>
    <row r="29" ht="58" customHeight="1">
      <c r="A29" s="6" t="n">
        <v>28</v>
      </c>
      <c r="B29" s="6" t="n">
        <v>4</v>
      </c>
      <c r="C29" s="6" t="inlineStr">
        <is>
          <t>TTMCS-005</t>
        </is>
      </c>
      <c r="D29" s="6" t="inlineStr">
        <is>
          <t>TTMCS-005-A01</t>
        </is>
      </c>
      <c r="E29" s="6" t="inlineStr">
        <is>
          <t>TTMCS-005-G6</t>
        </is>
      </c>
      <c r="F29" s="6" t="inlineStr">
        <is>
          <t>4 Substeps #3: "Brand color adjustments."</t>
        </is>
      </c>
      <c r="G29" s="6" t="inlineStr">
        <is>
          <t>Brand roles are re-toned for dark rather than reused from light</t>
        </is>
      </c>
      <c r="H29" s="6" t="inlineStr">
        <is>
          <t>Unit / logic</t>
        </is>
      </c>
      <c r="I29" s="6" t="inlineStr">
        <is>
          <t>Active</t>
        </is>
      </c>
      <c r="J29" s="6" t="inlineStr">
        <is>
          <t>No - needs flutter test</t>
        </is>
      </c>
      <c r="K29" s="7" t="inlineStr"/>
    </row>
    <row r="30" ht="58" customHeight="1">
      <c r="A30" s="5" t="n">
        <v>29</v>
      </c>
      <c r="B30" s="5" t="n">
        <v>4</v>
      </c>
      <c r="C30" s="5" t="inlineStr">
        <is>
          <t>TTMCS-005</t>
        </is>
      </c>
      <c r="D30" s="5" t="inlineStr">
        <is>
          <t>TTMCS-005-A01</t>
        </is>
      </c>
      <c r="E30" s="5" t="inlineStr">
        <is>
          <t>TTMCS-005-G7</t>
        </is>
      </c>
      <c r="F30" s="5" t="inlineStr">
        <is>
          <t>TTMCS-004 UX Decision: elevation overlays "instead of deep drop shadows" in dark configurations.</t>
        </is>
      </c>
      <c r="G30" s="5" t="inlineStr">
        <is>
          <t>Dark theme suppresses shadow colour and enables the elevation overlay</t>
        </is>
      </c>
      <c r="H30" s="5" t="inlineStr">
        <is>
          <t>Unit / logic</t>
        </is>
      </c>
      <c r="I30" s="5" t="inlineStr">
        <is>
          <t>Active</t>
        </is>
      </c>
      <c r="J30" s="5" t="inlineStr">
        <is>
          <t>No - needs flutter test</t>
        </is>
      </c>
      <c r="K30" s="7" t="inlineStr"/>
    </row>
    <row r="31" ht="58" customHeight="1">
      <c r="A31" s="6" t="n">
        <v>30</v>
      </c>
      <c r="B31" s="6" t="n">
        <v>4</v>
      </c>
      <c r="C31" s="6" t="inlineStr">
        <is>
          <t>TTMCS-005</t>
        </is>
      </c>
      <c r="D31" s="6" t="inlineStr">
        <is>
          <t>TTMCS-005-A01</t>
        </is>
      </c>
      <c r="E31" s="6" t="inlineStr">
        <is>
          <t>TTMCS-005-G8</t>
        </is>
      </c>
      <c r="F31" s="6" t="inlineStr">
        <is>
          <t>Expected Output: "CSS Token Variables" (Flutter equivalent: the typed ThemeExtension carried on ThemeData).</t>
        </is>
      </c>
      <c r="G31" s="6" t="inlineStr">
        <is>
          <t>HabotTokens exposes the correct ladder for each brightness</t>
        </is>
      </c>
      <c r="H31" s="6" t="inlineStr">
        <is>
          <t>Unit / logic</t>
        </is>
      </c>
      <c r="I31" s="6" t="inlineStr">
        <is>
          <t>Active</t>
        </is>
      </c>
      <c r="J31" s="6" t="inlineStr">
        <is>
          <t>No - needs flutter test</t>
        </is>
      </c>
      <c r="K31" s="7" t="inlineStr"/>
    </row>
    <row r="32" ht="58" customHeight="1">
      <c r="A32" s="5" t="n">
        <v>31</v>
      </c>
      <c r="B32" s="5" t="n">
        <v>5</v>
      </c>
      <c r="C32" s="5" t="inlineStr">
        <is>
          <t>SSTLA-004</t>
        </is>
      </c>
      <c r="D32" s="5" t="inlineStr">
        <is>
          <t>SSTLA-004-A01</t>
        </is>
      </c>
      <c r="E32" s="5" t="inlineStr">
        <is>
          <t>SSTLA-004-G1</t>
        </is>
      </c>
      <c r="F32" s="5" t="inlineStr">
        <is>
          <t>Setup Step (Action): "Define the exact base breakpoint, column count, fluid margin, and gutter widths for the core mobile experience."</t>
        </is>
      </c>
      <c r="G32" s="5" t="inlineStr">
        <is>
          <t>All four values are decided, recorded in the JSON, and match the code</t>
        </is>
      </c>
      <c r="H32" s="5" t="inlineStr">
        <is>
          <t>Unit / logic</t>
        </is>
      </c>
      <c r="I32" s="5" t="inlineStr">
        <is>
          <t>Active</t>
        </is>
      </c>
      <c r="J32" s="5" t="inlineStr">
        <is>
          <t>Yes - value computed</t>
        </is>
      </c>
      <c r="K32" s="7" t="inlineStr"/>
    </row>
    <row r="33" ht="58" customHeight="1">
      <c r="A33" s="6" t="n">
        <v>32</v>
      </c>
      <c r="B33" s="6" t="n">
        <v>5</v>
      </c>
      <c r="C33" s="6" t="inlineStr">
        <is>
          <t>SSTLA-004</t>
        </is>
      </c>
      <c r="D33" s="6" t="inlineStr">
        <is>
          <t>SSTLA-004-A01</t>
        </is>
      </c>
      <c r="E33" s="6" t="inlineStr">
        <is>
          <t>SSTLA-004-G2</t>
        </is>
      </c>
      <c r="F33" s="6" t="inlineStr">
        <is>
          <t>Setup Step Description: "Collate cross-device screen resolution metrics for target mobile, tablet, and desktop viewports."</t>
        </is>
      </c>
      <c r="G33" s="6" t="inlineStr">
        <is>
          <t>Matrix covers mobile, tablet and desktop, and every device carries all five required atomic data fields</t>
        </is>
      </c>
      <c r="H33" s="6" t="inlineStr">
        <is>
          <t>Widget / measured</t>
        </is>
      </c>
      <c r="I33" s="6" t="inlineStr">
        <is>
          <t>Active</t>
        </is>
      </c>
      <c r="J33" s="6" t="inlineStr">
        <is>
          <t>No - needs flutter test</t>
        </is>
      </c>
      <c r="K33" s="7" t="inlineStr"/>
    </row>
    <row r="34" ht="58" customHeight="1">
      <c r="A34" s="5" t="n">
        <v>33</v>
      </c>
      <c r="B34" s="5" t="n">
        <v>5</v>
      </c>
      <c r="C34" s="5" t="inlineStr">
        <is>
          <t>SSTLA-004</t>
        </is>
      </c>
      <c r="D34" s="5" t="inlineStr">
        <is>
          <t>SSTLA-004-A01</t>
        </is>
      </c>
      <c r="E34" s="5" t="inlineStr">
        <is>
          <t>SSTLA-004-G3</t>
        </is>
      </c>
      <c r="F34" s="5" t="inlineStr">
        <is>
          <t>Why This Matters: "preventing viewport overflow bugs ... across varying mobile viewports." + User Interaction: "Prevents accidental visual clipping of primary CTAs on tight displays."</t>
        </is>
      </c>
      <c r="G34" s="5" t="inlineStr">
        <is>
          <t>At every device width in the matrix, one grid column is still wide enough to hold a 48dp touch target</t>
        </is>
      </c>
      <c r="H34" s="5" t="inlineStr">
        <is>
          <t>Widget / measured</t>
        </is>
      </c>
      <c r="I34" s="5" t="inlineStr">
        <is>
          <t>Active</t>
        </is>
      </c>
      <c r="J34" s="5" t="inlineStr">
        <is>
          <t>Yes - value computed</t>
        </is>
      </c>
      <c r="K34" s="7" t="inlineStr"/>
    </row>
    <row r="35" ht="58" customHeight="1">
      <c r="A35" s="6" t="n">
        <v>34</v>
      </c>
      <c r="B35" s="6" t="n">
        <v>5</v>
      </c>
      <c r="C35" s="6" t="inlineStr">
        <is>
          <t>SSTLA-004</t>
        </is>
      </c>
      <c r="D35" s="6" t="inlineStr">
        <is>
          <t>SSTLA-004-A01</t>
        </is>
      </c>
      <c r="E35" s="6" t="inlineStr">
        <is>
          <t>SSTLA-004-G4</t>
        </is>
      </c>
      <c r="F35" s="6" t="inlineStr">
        <is>
          <t>CONFLICT RESOLUTION -- RCGLA-012 says "16px ... with an 8px gutter grid system"; RCGLA-032 substep 1 says "16px outer margin and a 16px column gutter". Resolved into two tokens.</t>
        </is>
      </c>
      <c r="G35" s="6" t="inlineStr">
        <is>
          <t>Column gutter is 16dp, vertical rhythm is 8dp, and the resolution is documented in the JSON rather than left implicit</t>
        </is>
      </c>
      <c r="H35" s="6" t="inlineStr">
        <is>
          <t>Unit / logic</t>
        </is>
      </c>
      <c r="I35" s="6" t="inlineStr">
        <is>
          <t>Active</t>
        </is>
      </c>
      <c r="J35" s="6" t="inlineStr">
        <is>
          <t>Yes - value computed</t>
        </is>
      </c>
      <c r="K35" s="7" t="inlineStr"/>
    </row>
    <row r="36" ht="58" customHeight="1">
      <c r="A36" s="5" t="n">
        <v>35</v>
      </c>
      <c r="B36" s="5" t="n">
        <v>5</v>
      </c>
      <c r="C36" s="5" t="inlineStr">
        <is>
          <t>SSTLA-004</t>
        </is>
      </c>
      <c r="D36" s="5" t="inlineStr">
        <is>
          <t>SSTLA-004-A01</t>
        </is>
      </c>
      <c r="E36" s="5" t="inlineStr">
        <is>
          <t>SSTLA-004-G5</t>
        </is>
      </c>
      <c r="F36" s="5" t="inlineStr">
        <is>
          <t>Expected Output: "Approved JSON Token File".</t>
        </is>
      </c>
      <c r="G36" s="5" t="inlineStr">
        <is>
          <t>Every device in device_matrix.json is mirrored exactly in Dart</t>
        </is>
      </c>
      <c r="H36" s="5" t="inlineStr">
        <is>
          <t>Token drift</t>
        </is>
      </c>
      <c r="I36" s="5" t="inlineStr">
        <is>
          <t>Active</t>
        </is>
      </c>
      <c r="J36" s="5" t="inlineStr">
        <is>
          <t>Yes - value computed</t>
        </is>
      </c>
      <c r="K36" s="7" t="inlineStr"/>
    </row>
    <row r="37" ht="58" customHeight="1">
      <c r="A37" s="6" t="n">
        <v>36</v>
      </c>
      <c r="B37" s="6" t="n">
        <v>5</v>
      </c>
      <c r="C37" s="6" t="inlineStr">
        <is>
          <t>SSTLA-004</t>
        </is>
      </c>
      <c r="D37" s="6" t="inlineStr">
        <is>
          <t>SSTLA-004-A01</t>
        </is>
      </c>
      <c r="E37" s="6" t="inlineStr">
        <is>
          <t>SSTLA-004-G6</t>
        </is>
      </c>
      <c r="F37" s="6" t="inlineStr">
        <is>
          <t>Metric: "Task Execution Quality Score (1-5 scale)" -- Floor 3.5, Optimal 4.5, Ceiling 5.0. Standard/Reference: "scored by a reviewer against a defined rubric."</t>
        </is>
      </c>
      <c r="G37" s="6" t="inlineStr">
        <is>
          <t>Objective rubric coverage reaches 5.0/5.0 (the reviewer score is a separate human input and is NOT self-awarded here)</t>
        </is>
      </c>
      <c r="H37" s="6" t="inlineStr">
        <is>
          <t>Unit / logic</t>
        </is>
      </c>
      <c r="I37" s="6" t="inlineStr">
        <is>
          <t>Active</t>
        </is>
      </c>
      <c r="J37" s="6" t="inlineStr">
        <is>
          <t>Yes - value computed</t>
        </is>
      </c>
      <c r="K37" s="7" t="inlineStr"/>
    </row>
    <row r="38" ht="58" customHeight="1">
      <c r="A38" s="5" t="n">
        <v>37</v>
      </c>
      <c r="B38" s="5" t="n">
        <v>5</v>
      </c>
      <c r="C38" s="5" t="inlineStr">
        <is>
          <t>SSTLA-004</t>
        </is>
      </c>
      <c r="D38" s="5" t="inlineStr">
        <is>
          <t>SSTLA-004-A01</t>
        </is>
      </c>
      <c r="E38" s="5" t="inlineStr">
        <is>
          <t>SSTLA-004-G7</t>
        </is>
      </c>
      <c r="F38" s="5" t="inlineStr">
        <is>
          <t>Expected Output: "an interactive structural layout wireframe for compact mobile devices."</t>
        </is>
      </c>
      <c r="G38" s="5" t="inlineStr">
        <is>
          <t>Wireframe overlay paints the grid at 320dp and passes pointers through to the content beneath</t>
        </is>
      </c>
      <c r="H38" s="5" t="inlineStr">
        <is>
          <t>Unit / logic</t>
        </is>
      </c>
      <c r="I38" s="5" t="inlineStr">
        <is>
          <t>Active</t>
        </is>
      </c>
      <c r="J38" s="5" t="inlineStr">
        <is>
          <t>No - needs flutter test</t>
        </is>
      </c>
      <c r="K38" s="7" t="inlineStr"/>
    </row>
    <row r="39" ht="58" customHeight="1">
      <c r="A39" s="6" t="n">
        <v>38</v>
      </c>
      <c r="B39" s="6" t="n">
        <v>5</v>
      </c>
      <c r="C39" s="6" t="inlineStr">
        <is>
          <t>SSTLA-004</t>
        </is>
      </c>
      <c r="D39" s="6" t="inlineStr">
        <is>
          <t>SSTLA-004-A01</t>
        </is>
      </c>
      <c r="E39" s="6" t="inlineStr">
        <is>
          <t>SSTLA-004-G8</t>
        </is>
      </c>
      <c r="F39" s="6" t="inlineStr">
        <is>
          <t>Why This Matters: "Eliminates arbitrary layout configurations across team members."</t>
        </is>
      </c>
      <c r="G39" s="6" t="inlineStr">
        <is>
          <t>The on-screen readout is generated from the tokens, so it can never disagree with the decision record</t>
        </is>
      </c>
      <c r="H39" s="6" t="inlineStr">
        <is>
          <t>Unit / logic</t>
        </is>
      </c>
      <c r="I39" s="6" t="inlineStr">
        <is>
          <t>Active</t>
        </is>
      </c>
      <c r="J39" s="6" t="inlineStr">
        <is>
          <t>No - needs flutter test</t>
        </is>
      </c>
      <c r="K39" s="7" t="inlineStr"/>
    </row>
    <row r="40" ht="58" customHeight="1">
      <c r="A40" s="5" t="n">
        <v>39</v>
      </c>
      <c r="B40" s="5" t="n">
        <v>6</v>
      </c>
      <c r="C40" s="5" t="inlineStr">
        <is>
          <t>RCGLA-012</t>
        </is>
      </c>
      <c r="D40" s="5" t="inlineStr">
        <is>
          <t>RCGLA-012-A01</t>
        </is>
      </c>
      <c r="E40" s="5" t="inlineStr">
        <is>
          <t>RCGLA-012-G1</t>
        </is>
      </c>
      <c r="F40" s="5" t="inlineStr">
        <is>
          <t>4 Substeps #1: "Define layout breakpoints in the common library configuration (xs: 0px, sm: 600px)."</t>
        </is>
      </c>
      <c r="G40" s="5" t="inlineStr">
        <is>
          <t>xs and sm breakpoints are defined at exactly 0 and 600 and drive the window-class resolver</t>
        </is>
      </c>
      <c r="H40" s="5" t="inlineStr">
        <is>
          <t>Unit / logic</t>
        </is>
      </c>
      <c r="I40" s="5" t="inlineStr">
        <is>
          <t>Active</t>
        </is>
      </c>
      <c r="J40" s="5" t="inlineStr">
        <is>
          <t>Yes - value computed</t>
        </is>
      </c>
      <c r="K40" s="7" t="inlineStr"/>
    </row>
    <row r="41" ht="58" customHeight="1">
      <c r="A41" s="8" t="n">
        <v>40</v>
      </c>
      <c r="B41" s="8" t="n">
        <v>6</v>
      </c>
      <c r="C41" s="8" t="inlineStr">
        <is>
          <t>RCGLA-012</t>
        </is>
      </c>
      <c r="D41" s="8" t="inlineStr">
        <is>
          <t>RCGLA-012-A01</t>
        </is>
      </c>
      <c r="E41" s="8" t="inlineStr">
        <is>
          <t>RCGLA-012-G2</t>
        </is>
      </c>
      <c r="F41" s="8" t="inlineStr">
        <is>
          <t>4 Substeps #2: "Configure HTML Meta viewport tags to disallow user-scalable zooming."</t>
        </is>
      </c>
      <c r="G41" s="8" t="inlineStr">
        <is>
          <t>Viewport meta tag locks zoom as specified (trade-off accepted by owner)Viewport meta tag pins width and initial scale; the user-scalable=no clause is DEFERRED because it fails WCAG 2.1 SC 1.4.4 and contradicts TTMCS-004/005. Awaiting Fredrick decision.</t>
        </is>
      </c>
      <c r="H41" s="8" t="inlineStr">
        <is>
          <t>WCAG contrast</t>
        </is>
      </c>
      <c r="I41" s="8" t="inlineStr">
        <is>
          <t>DEFERRED</t>
        </is>
      </c>
      <c r="J41" s="8" t="inlineStr">
        <is>
          <t>No - needs flutter test</t>
        </is>
      </c>
      <c r="K41" s="8" t="inlineStr"/>
    </row>
    <row r="42" ht="58" customHeight="1">
      <c r="A42" s="5" t="n">
        <v>41</v>
      </c>
      <c r="B42" s="5" t="n">
        <v>6</v>
      </c>
      <c r="C42" s="5" t="inlineStr">
        <is>
          <t>RCGLA-012</t>
        </is>
      </c>
      <c r="D42" s="5" t="inlineStr">
        <is>
          <t>RCGLA-012-A01</t>
        </is>
      </c>
      <c r="E42" s="5" t="inlineStr">
        <is>
          <t>RCGLA-012-G3</t>
        </is>
      </c>
      <c r="F42" s="5" t="inlineStr">
        <is>
          <t>4 Substeps #3: "Build a pure MobileGridContainer component restricted to 20 lines."</t>
        </is>
      </c>
      <c r="G42" s="5" t="inlineStr">
        <is>
          <t>MobileGridContainer.build is 20 executable lines or fewer, and the widget is pure (no Theme, MediaQuery or state)</t>
        </is>
      </c>
      <c r="H42" s="5" t="inlineStr">
        <is>
          <t>Static scan</t>
        </is>
      </c>
      <c r="I42" s="5" t="inlineStr">
        <is>
          <t>Active</t>
        </is>
      </c>
      <c r="J42" s="5" t="inlineStr">
        <is>
          <t>Yes - value computed</t>
        </is>
      </c>
      <c r="K42" s="7" t="inlineStr"/>
    </row>
    <row r="43" ht="58" customHeight="1">
      <c r="A43" s="6" t="n">
        <v>42</v>
      </c>
      <c r="B43" s="6" t="n">
        <v>6</v>
      </c>
      <c r="C43" s="6" t="inlineStr">
        <is>
          <t>RCGLA-012</t>
        </is>
      </c>
      <c r="D43" s="6" t="inlineStr">
        <is>
          <t>RCGLA-012-A01</t>
        </is>
      </c>
      <c r="E43" s="6" t="inlineStr">
        <is>
          <t>RCGLA-012-G4</t>
        </is>
      </c>
      <c r="F43" s="6" t="inlineStr">
        <is>
          <t>4 Substeps #4: "Implement automated build-time linting to flag hardcoded pixel values." + Poka-Yoke: "break compilation if outer layout wrappers contain hardcoded fixed pixel widths over 360px."</t>
        </is>
      </c>
      <c r="G43" s="6" t="inlineStr">
        <is>
          <t>The pixel-width ceiling is defined and no layout file declares a hardcoded wrapper width above it</t>
        </is>
      </c>
      <c r="H43" s="6" t="inlineStr">
        <is>
          <t>Unit / logic</t>
        </is>
      </c>
      <c r="I43" s="6" t="inlineStr">
        <is>
          <t>Active</t>
        </is>
      </c>
      <c r="J43" s="6" t="inlineStr">
        <is>
          <t>Yes - value computed</t>
        </is>
      </c>
      <c r="K43" s="7" t="inlineStr"/>
    </row>
    <row r="44" ht="58" customHeight="1">
      <c r="A44" s="5" t="n">
        <v>43</v>
      </c>
      <c r="B44" s="5" t="n">
        <v>6</v>
      </c>
      <c r="C44" s="5" t="inlineStr">
        <is>
          <t>RCGLA-012</t>
        </is>
      </c>
      <c r="D44" s="5" t="inlineStr">
        <is>
          <t>RCGLA-012-A01</t>
        </is>
      </c>
      <c r="E44" s="5" t="inlineStr">
        <is>
          <t>RCGLA-012-G5</t>
        </is>
      </c>
      <c r="F44" s="5" t="inlineStr">
        <is>
          <t>UX Translation: "standard 16px fluid outer margins and a continuous 8px vertical rhythm alignment."</t>
        </is>
      </c>
      <c r="G44" s="5" t="inlineStr">
        <is>
          <t>Outer margin is 16dp and the vertical rhythm is 8dp</t>
        </is>
      </c>
      <c r="H44" s="5" t="inlineStr">
        <is>
          <t>Unit / logic</t>
        </is>
      </c>
      <c r="I44" s="5" t="inlineStr">
        <is>
          <t>Active</t>
        </is>
      </c>
      <c r="J44" s="5" t="inlineStr">
        <is>
          <t>Yes - value computed</t>
        </is>
      </c>
      <c r="K44" s="7" t="inlineStr"/>
    </row>
    <row r="45" ht="58" customHeight="1">
      <c r="A45" s="6" t="n">
        <v>44</v>
      </c>
      <c r="B45" s="6" t="n">
        <v>6</v>
      </c>
      <c r="C45" s="6" t="inlineStr">
        <is>
          <t>RCGLA-012</t>
        </is>
      </c>
      <c r="D45" s="6" t="inlineStr">
        <is>
          <t>RCGLA-012-A01</t>
        </is>
      </c>
      <c r="E45" s="6" t="inlineStr">
        <is>
          <t>RCGLA-012-G6</t>
        </is>
      </c>
      <c r="F45" s="6" t="inlineStr">
        <is>
          <t>Completion Measures: "Zero instances of horizontal scrollbars across simulated iPhone SE, 14 Pro, and Pixel devices."</t>
        </is>
      </c>
      <c r="G45" s="6" t="inlineStr">
        <is>
          <t>App and MobileGridContainer render inside the viewport at 320, 393 and 393dp with zero overflow exceptions</t>
        </is>
      </c>
      <c r="H45" s="6" t="inlineStr">
        <is>
          <t>Widget / measured</t>
        </is>
      </c>
      <c r="I45" s="6" t="inlineStr">
        <is>
          <t>Active</t>
        </is>
      </c>
      <c r="J45" s="6" t="inlineStr">
        <is>
          <t>No - needs flutter test</t>
        </is>
      </c>
      <c r="K45" s="7" t="inlineStr"/>
    </row>
    <row r="46" ht="58" customHeight="1">
      <c r="A46" s="8" t="n">
        <v>45</v>
      </c>
      <c r="B46" s="8" t="n">
        <v>6</v>
      </c>
      <c r="C46" s="8" t="inlineStr">
        <is>
          <t>RCGLA-012</t>
        </is>
      </c>
      <c r="D46" s="8" t="inlineStr">
        <is>
          <t>RCGLA-012-A01</t>
        </is>
      </c>
      <c r="E46" s="8" t="inlineStr">
        <is>
          <t>RCGLA-012-G7</t>
        </is>
      </c>
      <c r="F46" s="8" t="inlineStr">
        <is>
          <t>Completion Measures: "Cumulative Layout Shift (CLS) scores tracking strictly under 0.05."</t>
        </is>
      </c>
      <c r="G46" s="8" t="inlineStr">
        <is>
          <t>CLS is a browser metric; needs a Lighthouse run in CI against the web build. NOT measured by this suite.</t>
        </is>
      </c>
      <c r="H46" s="8" t="inlineStr">
        <is>
          <t>Widget / measured</t>
        </is>
      </c>
      <c r="I46" s="8" t="inlineStr">
        <is>
          <t>DEFERRED</t>
        </is>
      </c>
      <c r="J46" s="8" t="inlineStr">
        <is>
          <t>No - needs flutter test</t>
        </is>
      </c>
      <c r="K46" s="8" t="inlineStr"/>
    </row>
    <row r="47" ht="58" customHeight="1">
      <c r="A47" s="6" t="n">
        <v>46</v>
      </c>
      <c r="B47" s="6" t="n">
        <v>7</v>
      </c>
      <c r="C47" s="6" t="inlineStr">
        <is>
          <t>RCGLA-032</t>
        </is>
      </c>
      <c r="D47" s="6" t="inlineStr">
        <is>
          <t>RCGLA-032-A01</t>
        </is>
      </c>
      <c r="E47" s="6" t="inlineStr">
        <is>
          <t>RCGLA-032-G1</t>
        </is>
      </c>
      <c r="F47" s="6" t="inlineStr">
        <is>
          <t>4 Substeps #1: "Define global system layout properties with a 16px outer margin and a 16px column gutter spacing profile."</t>
        </is>
      </c>
      <c r="G47" s="6" t="inlineStr">
        <is>
          <t>Outer margin and column gutter are both exactly 16dp</t>
        </is>
      </c>
      <c r="H47" s="6" t="inlineStr">
        <is>
          <t>Unit / logic</t>
        </is>
      </c>
      <c r="I47" s="6" t="inlineStr">
        <is>
          <t>Active</t>
        </is>
      </c>
      <c r="J47" s="6" t="inlineStr">
        <is>
          <t>Yes - value computed</t>
        </is>
      </c>
      <c r="K47" s="7" t="inlineStr"/>
    </row>
    <row r="48" ht="58" customHeight="1">
      <c r="A48" s="5" t="n">
        <v>47</v>
      </c>
      <c r="B48" s="5" t="n">
        <v>7</v>
      </c>
      <c r="C48" s="5" t="inlineStr">
        <is>
          <t>RCGLA-032</t>
        </is>
      </c>
      <c r="D48" s="5" t="inlineStr">
        <is>
          <t>RCGLA-032-A01</t>
        </is>
      </c>
      <c r="E48" s="5" t="inlineStr">
        <is>
          <t>RCGLA-032-G2</t>
        </is>
      </c>
      <c r="F48" s="5" t="inlineStr">
        <is>
          <t>4 Substeps #2: "Implement an automated viewport listener that flags any element trying to split into more than 4 vertical segments on mobile viewports."</t>
        </is>
      </c>
      <c r="G48" s="5" t="inlineStr">
        <is>
          <t>Segment limit is 4 on compact, clamping is applied, and the violation is reported rather than swallowed</t>
        </is>
      </c>
      <c r="H48" s="5" t="inlineStr">
        <is>
          <t>Widget / measured</t>
        </is>
      </c>
      <c r="I48" s="5" t="inlineStr">
        <is>
          <t>Active</t>
        </is>
      </c>
      <c r="J48" s="5" t="inlineStr">
        <is>
          <t>Yes - value computed</t>
        </is>
      </c>
      <c r="K48" s="7" t="inlineStr"/>
    </row>
    <row r="49" ht="58" customHeight="1">
      <c r="A49" s="6" t="n">
        <v>48</v>
      </c>
      <c r="B49" s="6" t="n">
        <v>7</v>
      </c>
      <c r="C49" s="6" t="inlineStr">
        <is>
          <t>RCGLA-032</t>
        </is>
      </c>
      <c r="D49" s="6" t="inlineStr">
        <is>
          <t>RCGLA-032-A01</t>
        </is>
      </c>
      <c r="E49" s="6" t="inlineStr">
        <is>
          <t>RCGLA-032-G3</t>
        </is>
      </c>
      <c r="F49" s="6" t="inlineStr">
        <is>
          <t>Mobile-First UX Decision: "Follow MD3 compact window-size class guidelines explicitly."</t>
        </is>
      </c>
      <c r="G49" s="6" t="inlineStr">
        <is>
          <t>Every phone in the device matrix resolves to the compact class with a 4-column matrix</t>
        </is>
      </c>
      <c r="H49" s="6" t="inlineStr">
        <is>
          <t>Static scan</t>
        </is>
      </c>
      <c r="I49" s="6" t="inlineStr">
        <is>
          <t>Active</t>
        </is>
      </c>
      <c r="J49" s="6" t="inlineStr">
        <is>
          <t>Yes - value computed</t>
        </is>
      </c>
      <c r="K49" s="7" t="inlineStr"/>
    </row>
    <row r="50" ht="58" customHeight="1">
      <c r="A50" s="5" t="n">
        <v>49</v>
      </c>
      <c r="B50" s="5" t="n">
        <v>7</v>
      </c>
      <c r="C50" s="5" t="inlineStr">
        <is>
          <t>RCGLA-032</t>
        </is>
      </c>
      <c r="D50" s="5" t="inlineStr">
        <is>
          <t>RCGLA-032-A01</t>
        </is>
      </c>
      <c r="E50" s="5" t="inlineStr">
        <is>
          <t>RCGLA-032-G4</t>
        </is>
      </c>
      <c r="F50" s="5" t="inlineStr">
        <is>
          <t>Mobile-First UX Implementation: "Set container dimensions using relative percentages to ensure fluid elasticity across diverse aspect ratios."</t>
        </is>
      </c>
      <c r="G50" s="5" t="inlineStr">
        <is>
          <t>Column width scales continuously with viewport width -- no fixed widths anywhere in the arithmetic</t>
        </is>
      </c>
      <c r="H50" s="5" t="inlineStr">
        <is>
          <t>Widget / measured</t>
        </is>
      </c>
      <c r="I50" s="5" t="inlineStr">
        <is>
          <t>Active</t>
        </is>
      </c>
      <c r="J50" s="5" t="inlineStr">
        <is>
          <t>Yes - value computed</t>
        </is>
      </c>
      <c r="K50" s="7" t="inlineStr"/>
    </row>
    <row r="51" ht="58" customHeight="1">
      <c r="A51" s="6" t="n">
        <v>50</v>
      </c>
      <c r="B51" s="6" t="n">
        <v>7</v>
      </c>
      <c r="C51" s="6" t="inlineStr">
        <is>
          <t>RCGLA-032</t>
        </is>
      </c>
      <c r="D51" s="6" t="inlineStr">
        <is>
          <t>RCGLA-032-A01</t>
        </is>
      </c>
      <c r="E51" s="6" t="inlineStr">
        <is>
          <t>RCGLA-032-G5</t>
        </is>
      </c>
      <c r="F51" s="6" t="inlineStr">
        <is>
          <t>4 Substeps #3: "Wrap all application view components inside a global layout boundary container component."</t>
        </is>
      </c>
      <c r="G51" s="6" t="inlineStr">
        <is>
          <t>HabotLayoutBoundary publishes window class + column count and reports an over-limit span through LayoutBoundaryReporter</t>
        </is>
      </c>
      <c r="H51" s="6" t="inlineStr">
        <is>
          <t>Unit / logic</t>
        </is>
      </c>
      <c r="I51" s="6" t="inlineStr">
        <is>
          <t>Active</t>
        </is>
      </c>
      <c r="J51" s="6" t="inlineStr">
        <is>
          <t>No - needs flutter test</t>
        </is>
      </c>
      <c r="K51" s="7" t="inlineStr"/>
    </row>
    <row r="52" ht="58" customHeight="1">
      <c r="A52" s="5" t="n">
        <v>51</v>
      </c>
      <c r="B52" s="5" t="n">
        <v>7</v>
      </c>
      <c r="C52" s="5" t="inlineStr">
        <is>
          <t>RCGLA-032</t>
        </is>
      </c>
      <c r="D52" s="5" t="inlineStr">
        <is>
          <t>RCGLA-032-A01</t>
        </is>
      </c>
      <c r="E52" s="5" t="inlineStr">
        <is>
          <t>RCGLA-032-G6</t>
        </is>
      </c>
      <c r="F52" s="5" t="inlineStr">
        <is>
          <t>What Standardized Must Be Done: "All sub-feature layouts must wrap within the unified responsive grid component layout."</t>
        </is>
      </c>
      <c r="G52" s="5" t="inlineStr">
        <is>
          <t>A view outside the layout boundary throws a readable error instead of falling back to an invented layout</t>
        </is>
      </c>
      <c r="H52" s="5" t="inlineStr">
        <is>
          <t>Unit / logic</t>
        </is>
      </c>
      <c r="I52" s="5" t="inlineStr">
        <is>
          <t>Active</t>
        </is>
      </c>
      <c r="J52" s="5" t="inlineStr">
        <is>
          <t>No - needs flutter test</t>
        </is>
      </c>
      <c r="K52" s="7" t="inlineStr"/>
    </row>
    <row r="53" ht="58" customHeight="1">
      <c r="A53" s="6" t="n">
        <v>52</v>
      </c>
      <c r="B53" s="6" t="n">
        <v>7</v>
      </c>
      <c r="C53" s="6" t="inlineStr">
        <is>
          <t>RCGLA-032</t>
        </is>
      </c>
      <c r="D53" s="6" t="inlineStr">
        <is>
          <t>RCGLA-032-A01</t>
        </is>
      </c>
      <c r="E53" s="6" t="inlineStr">
        <is>
          <t>RCGLA-032-G7</t>
        </is>
      </c>
      <c r="F53" s="6" t="inlineStr">
        <is>
          <t>4 Substeps #4: "Write automatic viewport-testing checks to evaluate layout rendering across common compact resolutions (360px, 375px, and 412px)." + Completion Measures: "Zero horizontal scrollbars ... down to 320px width."</t>
        </is>
      </c>
      <c r="G53" s="6" t="inlineStr">
        <is>
          <t>App renders clean with zero segment violations at 320, 360, 375 and 412dp</t>
        </is>
      </c>
      <c r="H53" s="6" t="inlineStr">
        <is>
          <t>Widget / measured</t>
        </is>
      </c>
      <c r="I53" s="6" t="inlineStr">
        <is>
          <t>Active</t>
        </is>
      </c>
      <c r="J53" s="6" t="inlineStr">
        <is>
          <t>No - needs flutter test</t>
        </is>
      </c>
      <c r="K53" s="7" t="inlineStr"/>
    </row>
    <row r="54" ht="58" customHeight="1">
      <c r="A54" s="5" t="n">
        <v>53</v>
      </c>
      <c r="B54" s="5" t="n">
        <v>8</v>
      </c>
      <c r="C54" s="5" t="inlineStr">
        <is>
          <t>RCGLA-018</t>
        </is>
      </c>
      <c r="D54" s="5" t="inlineStr">
        <is>
          <t>RCGLA-018-A01</t>
        </is>
      </c>
      <c r="E54" s="5" t="inlineStr">
        <is>
          <t>RCGLA-018-G1</t>
        </is>
      </c>
      <c r="F54" s="5" t="inlineStr">
        <is>
          <t>4 Substeps #1: "Build primary scaffold locking metrics."</t>
        </is>
      </c>
      <c r="G54" s="5" t="inlineStr">
        <is>
          <t>The scaffold hard-codes its own margins from tokens and wraps every body in the layout boundary</t>
        </is>
      </c>
      <c r="H54" s="5" t="inlineStr">
        <is>
          <t>Unit / logic</t>
        </is>
      </c>
      <c r="I54" s="5" t="inlineStr">
        <is>
          <t>Active</t>
        </is>
      </c>
      <c r="J54" s="5" t="inlineStr">
        <is>
          <t>No - needs flutter test</t>
        </is>
      </c>
      <c r="K54" s="7" t="inlineStr"/>
    </row>
    <row r="55" ht="58" customHeight="1">
      <c r="A55" s="6" t="n">
        <v>54</v>
      </c>
      <c r="B55" s="6" t="n">
        <v>8</v>
      </c>
      <c r="C55" s="6" t="inlineStr">
        <is>
          <t>RCGLA-018</t>
        </is>
      </c>
      <c r="D55" s="6" t="inlineStr">
        <is>
          <t>RCGLA-018-A01</t>
        </is>
      </c>
      <c r="E55" s="6" t="inlineStr">
        <is>
          <t>RCGLA-018-G2</t>
        </is>
      </c>
      <c r="F55" s="6" t="inlineStr">
        <is>
          <t>4 Substeps #2: "Implement configurable child prop targets."</t>
        </is>
      </c>
      <c r="G55" s="6" t="inlineStr">
        <is>
          <t>Scaffold exposes exactly the four content slots and nothing else that could carry layout</t>
        </is>
      </c>
      <c r="H55" s="6" t="inlineStr">
        <is>
          <t>Unit / logic</t>
        </is>
      </c>
      <c r="I55" s="6" t="inlineStr">
        <is>
          <t>Active</t>
        </is>
      </c>
      <c r="J55" s="6" t="inlineStr">
        <is>
          <t>No - needs flutter test</t>
        </is>
      </c>
      <c r="K55" s="7" t="inlineStr"/>
    </row>
    <row r="56" ht="58" customHeight="1">
      <c r="A56" s="5" t="n">
        <v>55</v>
      </c>
      <c r="B56" s="5" t="n">
        <v>8</v>
      </c>
      <c r="C56" s="5" t="inlineStr">
        <is>
          <t>RCGLA-018</t>
        </is>
      </c>
      <c r="D56" s="5" t="inlineStr">
        <is>
          <t>RCGLA-018-A01</t>
        </is>
      </c>
      <c r="E56" s="5" t="inlineStr">
        <is>
          <t>RCGLA-018-G3</t>
        </is>
      </c>
      <c r="F56" s="5" t="inlineStr">
        <is>
          <t>4 Substeps #3: "Block flexible padding assignments." + Poka-Yoke: "Custom local padding declarations are programmatically stripped by central package rules."</t>
        </is>
      </c>
      <c r="G56" s="5" t="inlineStr">
        <is>
          <t>HabotMasterScaffold constructor exposes NO padding, margin, width or alignment parameter -- a screen physically cannot pass spacing in</t>
        </is>
      </c>
      <c r="H56" s="5" t="inlineStr">
        <is>
          <t>Static scan</t>
        </is>
      </c>
      <c r="I56" s="5" t="inlineStr">
        <is>
          <t>Active</t>
        </is>
      </c>
      <c r="J56" s="5" t="inlineStr">
        <is>
          <t>Yes - value computed</t>
        </is>
      </c>
      <c r="K56" s="7" t="inlineStr"/>
    </row>
    <row r="57" ht="58" customHeight="1">
      <c r="A57" s="6" t="n">
        <v>56</v>
      </c>
      <c r="B57" s="6" t="n">
        <v>8</v>
      </c>
      <c r="C57" s="6" t="inlineStr">
        <is>
          <t>RCGLA-018</t>
        </is>
      </c>
      <c r="D57" s="6" t="inlineStr">
        <is>
          <t>RCGLA-018-A01</t>
        </is>
      </c>
      <c r="E57" s="6" t="inlineStr">
        <is>
          <t>RCGLA-018-G4</t>
        </is>
      </c>
      <c r="F57" s="6" t="inlineStr">
        <is>
          <t>Completion Measures: "Code scanning proves 100% of app instances use wrappers." + 4 Substeps #4: "Force tracks to implement central layouts."</t>
        </is>
      </c>
      <c r="G57" s="6" t="inlineStr">
        <is>
          <t>Every screen class discovered under lib/ references HabotMasterScaffold</t>
        </is>
      </c>
      <c r="H57" s="6" t="inlineStr">
        <is>
          <t>Widget / measured</t>
        </is>
      </c>
      <c r="I57" s="6" t="inlineStr">
        <is>
          <t>Active</t>
        </is>
      </c>
      <c r="J57" s="6" t="inlineStr">
        <is>
          <t>Yes - value computed</t>
        </is>
      </c>
      <c r="K57" s="7" t="inlineStr"/>
    </row>
    <row r="58" ht="58" customHeight="1">
      <c r="A58" s="5" t="n">
        <v>57</v>
      </c>
      <c r="B58" s="5" t="n">
        <v>8</v>
      </c>
      <c r="C58" s="5" t="inlineStr">
        <is>
          <t>RCGLA-018</t>
        </is>
      </c>
      <c r="D58" s="5" t="inlineStr">
        <is>
          <t>RCGLA-018-A01</t>
        </is>
      </c>
      <c r="E58" s="5" t="inlineStr">
        <is>
          <t>RCGLA-018-G5</t>
        </is>
      </c>
      <c r="F58" s="5" t="inlineStr">
        <is>
          <t>Poka-Yoke: "Custom local padding declarations are programmatically stripped by central package rules."</t>
        </is>
      </c>
      <c r="G58" s="5" t="inlineStr">
        <is>
          <t>No screen file declares its own Scaffold -- the master scaffold is the only one</t>
        </is>
      </c>
      <c r="H58" s="5" t="inlineStr">
        <is>
          <t>Unit / logic</t>
        </is>
      </c>
      <c r="I58" s="5" t="inlineStr">
        <is>
          <t>Active</t>
        </is>
      </c>
      <c r="J58" s="5" t="inlineStr">
        <is>
          <t>Yes - value computed</t>
        </is>
      </c>
      <c r="K58" s="7" t="inlineStr"/>
    </row>
    <row r="59" ht="58" customHeight="1">
      <c r="A59" s="6" t="n">
        <v>58</v>
      </c>
      <c r="B59" s="6" t="n">
        <v>8</v>
      </c>
      <c r="C59" s="6" t="inlineStr">
        <is>
          <t>RCGLA-018</t>
        </is>
      </c>
      <c r="D59" s="6" t="inlineStr">
        <is>
          <t>RCGLA-018-A01</t>
        </is>
      </c>
      <c r="E59" s="6" t="inlineStr">
        <is>
          <t>RCGLA-018-G6</t>
        </is>
      </c>
      <c r="F59" s="6" t="inlineStr">
        <is>
          <t>Atomic Reusability: "Layout systems operate as multi-tenant structural shells." + Data Collected: Audit Trail.</t>
        </is>
      </c>
      <c r="G59" s="6" t="inlineStr">
        <is>
          <t>Screens register into an inventory at build time and each sits inside exactly one HabotLayoutBoundary</t>
        </is>
      </c>
      <c r="H59" s="6" t="inlineStr">
        <is>
          <t>Unit / logic</t>
        </is>
      </c>
      <c r="I59" s="6" t="inlineStr">
        <is>
          <t>Active</t>
        </is>
      </c>
      <c r="J59" s="6" t="inlineStr">
        <is>
          <t>No - needs flutter test</t>
        </is>
      </c>
      <c r="K59" s="7" t="inlineStr"/>
    </row>
    <row r="60" ht="58" customHeight="1">
      <c r="A60" s="5" t="n">
        <v>59</v>
      </c>
      <c r="B60" s="5" t="n">
        <v>9</v>
      </c>
      <c r="C60" s="5" t="inlineStr">
        <is>
          <t>ANSA-012</t>
        </is>
      </c>
      <c r="D60" s="5" t="inlineStr">
        <is>
          <t>ANSA-012-A01</t>
        </is>
      </c>
      <c r="E60" s="5" t="inlineStr">
        <is>
          <t>ANSA-012-G1</t>
        </is>
      </c>
      <c r="F60" s="5" t="inlineStr">
        <is>
          <t>4 Substeps #1: "Cap maximum string titles to protect horizontal grid boundaries."</t>
        </is>
      </c>
      <c r="G60" s="5" t="inlineStr">
        <is>
          <t>Title capping never exceeds the budget, preserves short titles untouched, and prefers a word boundary</t>
        </is>
      </c>
      <c r="H60" s="5" t="inlineStr">
        <is>
          <t>Unit / logic</t>
        </is>
      </c>
      <c r="I60" s="5" t="inlineStr">
        <is>
          <t>Active</t>
        </is>
      </c>
      <c r="J60" s="5" t="inlineStr">
        <is>
          <t>Yes - value computed</t>
        </is>
      </c>
      <c r="K60" s="7" t="inlineStr"/>
    </row>
    <row r="61" ht="58" customHeight="1">
      <c r="A61" s="6" t="n">
        <v>60</v>
      </c>
      <c r="B61" s="6" t="n">
        <v>9</v>
      </c>
      <c r="C61" s="6" t="inlineStr">
        <is>
          <t>ANSA-012</t>
        </is>
      </c>
      <c r="D61" s="6" t="inlineStr">
        <is>
          <t>ANSA-012-A01</t>
        </is>
      </c>
      <c r="E61" s="6" t="inlineStr">
        <is>
          <t>ANSA-012-G2</t>
        </is>
      </c>
      <c r="F61" s="6" t="inlineStr">
        <is>
          <t>4 Substeps #3: "Inject scroll-listening hooks to adjust header elevations dynamically." + UX Translation: "Top navigation bars transition from flat fills to high-elevation shadows as lower contents scroll."</t>
        </is>
      </c>
      <c r="G61" s="6" t="inlineStr">
        <is>
          <t>Header is flat at rest and lifts once content scrolls past the threshold</t>
        </is>
      </c>
      <c r="H61" s="6" t="inlineStr">
        <is>
          <t>Unit / logic</t>
        </is>
      </c>
      <c r="I61" s="6" t="inlineStr">
        <is>
          <t>Active</t>
        </is>
      </c>
      <c r="J61" s="6" t="inlineStr">
        <is>
          <t>No - needs flutter test</t>
        </is>
      </c>
      <c r="K61" s="7" t="inlineStr"/>
    </row>
    <row r="62" ht="58" customHeight="1">
      <c r="A62" s="5" t="n">
        <v>61</v>
      </c>
      <c r="B62" s="5" t="n">
        <v>9</v>
      </c>
      <c r="C62" s="5" t="inlineStr">
        <is>
          <t>ANSA-012</t>
        </is>
      </c>
      <c r="D62" s="5" t="inlineStr">
        <is>
          <t>ANSA-012-A01</t>
        </is>
      </c>
      <c r="E62" s="5" t="inlineStr">
        <is>
          <t>ANSA-012-G3</t>
        </is>
      </c>
      <c r="F62" s="5" t="inlineStr">
        <is>
          <t>Poka-Yoke: "Intercept routes block rapid double-tapping on back controls, saving history queues from array corruption."</t>
        </is>
      </c>
      <c r="G62" s="5" t="inlineStr">
        <is>
          <t>A burst of back taps inside the debounce window yields exactly one pop</t>
        </is>
      </c>
      <c r="H62" s="5" t="inlineStr">
        <is>
          <t>Widget / measured</t>
        </is>
      </c>
      <c r="I62" s="5" t="inlineStr">
        <is>
          <t>Active</t>
        </is>
      </c>
      <c r="J62" s="5" t="inlineStr">
        <is>
          <t>Yes - value computed</t>
        </is>
      </c>
      <c r="K62" s="7" t="inlineStr"/>
    </row>
    <row r="63" ht="58" customHeight="1">
      <c r="A63" s="6" t="n">
        <v>62</v>
      </c>
      <c r="B63" s="6" t="n">
        <v>9</v>
      </c>
      <c r="C63" s="6" t="inlineStr">
        <is>
          <t>ANSA-012</t>
        </is>
      </c>
      <c r="D63" s="6" t="inlineStr">
        <is>
          <t>ANSA-012-A01</t>
        </is>
      </c>
      <c r="E63" s="6" t="inlineStr">
        <is>
          <t>ANSA-012-G4</t>
        </is>
      </c>
      <c r="F63" s="6" t="inlineStr">
        <is>
          <t>Mobile-First UX Decision: "Hide excessive, low-priority shortcut items inside unified trailing overflow menus on tight displays."</t>
        </is>
      </c>
      <c r="G63" s="6" t="inlineStr">
        <is>
          <t>Compact viewports expose fewer visible actions than wide ones, and the remainder overflow</t>
        </is>
      </c>
      <c r="H63" s="6" t="inlineStr">
        <is>
          <t>Widget / measured</t>
        </is>
      </c>
      <c r="I63" s="6" t="inlineStr">
        <is>
          <t>Active</t>
        </is>
      </c>
      <c r="J63" s="6" t="inlineStr">
        <is>
          <t>No - needs flutter test</t>
        </is>
      </c>
      <c r="K63" s="7" t="inlineStr"/>
    </row>
    <row r="64" ht="58" customHeight="1">
      <c r="A64" s="5" t="n">
        <v>63</v>
      </c>
      <c r="B64" s="5" t="n">
        <v>9</v>
      </c>
      <c r="C64" s="5" t="inlineStr">
        <is>
          <t>ANSA-012</t>
        </is>
      </c>
      <c r="D64" s="5" t="inlineStr">
        <is>
          <t>ANSA-012-A01</t>
        </is>
      </c>
      <c r="E64" s="5" t="inlineStr">
        <is>
          <t>ANSA-012-G5</t>
        </is>
      </c>
      <c r="F64" s="5" t="inlineStr">
        <is>
          <t>Mobile-First UI Implementation: "Secure the top app container height to an unyielding 64dp profile line."</t>
        </is>
      </c>
      <c r="G64" s="5" t="inlineStr">
        <is>
          <t>preferredSize is exactly 64dp and comes from the token, not a literal</t>
        </is>
      </c>
      <c r="H64" s="5" t="inlineStr">
        <is>
          <t>Unit / logic</t>
        </is>
      </c>
      <c r="I64" s="5" t="inlineStr">
        <is>
          <t>Active</t>
        </is>
      </c>
      <c r="J64" s="5" t="inlineStr">
        <is>
          <t>Yes - value computed</t>
        </is>
      </c>
      <c r="K64" s="7" t="inlineStr"/>
    </row>
    <row r="65" ht="58" customHeight="1">
      <c r="A65" s="6" t="n">
        <v>64</v>
      </c>
      <c r="B65" s="6" t="n">
        <v>9</v>
      </c>
      <c r="C65" s="6" t="inlineStr">
        <is>
          <t>ANSA-012</t>
        </is>
      </c>
      <c r="D65" s="6" t="inlineStr">
        <is>
          <t>ANSA-012-A01</t>
        </is>
      </c>
      <c r="E65" s="6" t="inlineStr">
        <is>
          <t>ANSA-012-G6</t>
        </is>
      </c>
      <c r="F65" s="6" t="inlineStr">
        <is>
          <t>Mobile-First UI Decision: "Align textual header targets strictly to standard left grid baselines." + UI Implementation: 64dp.</t>
        </is>
      </c>
      <c r="G65" s="6" t="inlineStr">
        <is>
          <t>Rendered header is 64dp tall, caps its title and collapses surplus actions into a trailing overflow menu at 360dp</t>
        </is>
      </c>
      <c r="H65" s="6" t="inlineStr">
        <is>
          <t>Widget / measured</t>
        </is>
      </c>
      <c r="I65" s="6" t="inlineStr">
        <is>
          <t>Active</t>
        </is>
      </c>
      <c r="J65" s="6" t="inlineStr">
        <is>
          <t>No - needs flutter test</t>
        </is>
      </c>
      <c r="K65" s="7" t="inlineStr"/>
    </row>
    <row r="66" ht="58" customHeight="1">
      <c r="A66" s="5" t="n">
        <v>65</v>
      </c>
      <c r="B66" s="5" t="n">
        <v>9</v>
      </c>
      <c r="C66" s="5" t="inlineStr">
        <is>
          <t>ANSA-012</t>
        </is>
      </c>
      <c r="D66" s="5" t="inlineStr">
        <is>
          <t>ANSA-012-A01</t>
        </is>
      </c>
      <c r="E66" s="5" t="inlineStr">
        <is>
          <t>ANSA-012-G7</t>
        </is>
      </c>
      <c r="F66" s="5" t="inlineStr">
        <is>
          <t>Expected Output measure: "100% of application pages render matching navigation rules with zero history stack leaks."</t>
        </is>
      </c>
      <c r="G66" s="5" t="inlineStr">
        <is>
          <t>Tapping back on the root route is a no-op: the stack is never unwound past the first screen</t>
        </is>
      </c>
      <c r="H66" s="5" t="inlineStr">
        <is>
          <t>Widget / measured</t>
        </is>
      </c>
      <c r="I66" s="5" t="inlineStr">
        <is>
          <t>Active</t>
        </is>
      </c>
      <c r="J66" s="5" t="inlineStr">
        <is>
          <t>No - needs flutter test</t>
        </is>
      </c>
      <c r="K66" s="7" t="inlineStr"/>
    </row>
    <row r="67" ht="58" customHeight="1">
      <c r="A67" s="6" t="n">
        <v>66</v>
      </c>
      <c r="B67" s="6" t="n">
        <v>10</v>
      </c>
      <c r="C67" s="6" t="inlineStr">
        <is>
          <t>TTMAC-011</t>
        </is>
      </c>
      <c r="D67" s="6" t="inlineStr">
        <is>
          <t>TTMAC-011-A01</t>
        </is>
      </c>
      <c r="E67" s="6" t="inlineStr">
        <is>
          <t>TTMAC-011-G1</t>
        </is>
      </c>
      <c r="F67" s="6" t="inlineStr">
        <is>
          <t>4 Substeps #1: "Define absolute minimum touch-target boundaries (&gt;= 48 x 48 dp) for compact layout elements."</t>
        </is>
      </c>
      <c r="G67" s="6" t="inlineStr">
        <is>
          <t>The 48dp floor is defined once, and the compliance predicate rejects anything under it</t>
        </is>
      </c>
      <c r="H67" s="6" t="inlineStr">
        <is>
          <t>Unit / logic</t>
        </is>
      </c>
      <c r="I67" s="6" t="inlineStr">
        <is>
          <t>Active</t>
        </is>
      </c>
      <c r="J67" s="6" t="inlineStr">
        <is>
          <t>Yes - value computed</t>
        </is>
      </c>
      <c r="K67" s="7" t="inlineStr"/>
    </row>
    <row r="68" ht="58" customHeight="1">
      <c r="A68" s="5" t="n">
        <v>67</v>
      </c>
      <c r="B68" s="5" t="n">
        <v>10</v>
      </c>
      <c r="C68" s="5" t="inlineStr">
        <is>
          <t>TTMAC-011</t>
        </is>
      </c>
      <c r="D68" s="5" t="inlineStr">
        <is>
          <t>TTMAC-011-A01</t>
        </is>
      </c>
      <c r="E68" s="5" t="inlineStr">
        <is>
          <t>TTMAC-011-G2</t>
        </is>
      </c>
      <c r="F68" s="5" t="inlineStr">
        <is>
          <t>4 Substeps #3: "Configure button element grid bounds to preserve an 8 dp safety spacing margin."</t>
        </is>
      </c>
      <c r="G68" s="5" t="inlineStr">
        <is>
          <t>Safety margin is 8dp and the separation predicate rejects tighter gaps</t>
        </is>
      </c>
      <c r="H68" s="5" t="inlineStr">
        <is>
          <t>Unit / logic</t>
        </is>
      </c>
      <c r="I68" s="5" t="inlineStr">
        <is>
          <t>Active</t>
        </is>
      </c>
      <c r="J68" s="5" t="inlineStr">
        <is>
          <t>Yes - value computed</t>
        </is>
      </c>
      <c r="K68" s="7" t="inlineStr"/>
    </row>
    <row r="69" ht="58" customHeight="1">
      <c r="A69" s="6" t="n">
        <v>68</v>
      </c>
      <c r="B69" s="6" t="n">
        <v>10</v>
      </c>
      <c r="C69" s="6" t="inlineStr">
        <is>
          <t>TTMAC-011</t>
        </is>
      </c>
      <c r="D69" s="6" t="inlineStr">
        <is>
          <t>TTMAC-011-A01</t>
        </is>
      </c>
      <c r="E69" s="6" t="inlineStr">
        <is>
          <t>TTMAC-011-G3</t>
        </is>
      </c>
      <c r="F69" s="6" t="inlineStr">
        <is>
          <t>Poka-Yoke: "The compile engine throws a validation error if any touch target layout bounds map below 48 dp constraints."</t>
        </is>
      </c>
      <c r="G69" s="6" t="inlineStr">
        <is>
          <t>HabotTouchTarget carries a constructor assert that rejects a sub-48dp minSize before anything renders</t>
        </is>
      </c>
      <c r="H69" s="6" t="inlineStr">
        <is>
          <t>Widget / measured</t>
        </is>
      </c>
      <c r="I69" s="6" t="inlineStr">
        <is>
          <t>Active</t>
        </is>
      </c>
      <c r="J69" s="6" t="inlineStr">
        <is>
          <t>No - needs flutter test</t>
        </is>
      </c>
      <c r="K69" s="7" t="inlineStr"/>
    </row>
    <row r="70" ht="58" customHeight="1">
      <c r="A70" s="5" t="n">
        <v>69</v>
      </c>
      <c r="B70" s="5" t="n">
        <v>10</v>
      </c>
      <c r="C70" s="5" t="inlineStr">
        <is>
          <t>TTMAC-011</t>
        </is>
      </c>
      <c r="D70" s="5" t="inlineStr">
        <is>
          <t>TTMAC-011-A01</t>
        </is>
      </c>
      <c r="E70" s="5" t="inlineStr">
        <is>
          <t>TTMAC-011-G4</t>
        </is>
      </c>
      <c r="F70" s="5" t="inlineStr">
        <is>
          <t>What Standardized Must Be Done: "Adherence to core interactive component parameters." + Completion Measures: 100% of interactive elements &gt;= 48dp.</t>
        </is>
      </c>
      <c r="G70" s="5" t="inlineStr">
        <is>
          <t>No file under lib/ builds a raw IconButton or GestureDetector outside the sanctioned interaction module</t>
        </is>
      </c>
      <c r="H70" s="5" t="inlineStr">
        <is>
          <t>Widget / measured</t>
        </is>
      </c>
      <c r="I70" s="5" t="inlineStr">
        <is>
          <t>Active</t>
        </is>
      </c>
      <c r="J70" s="5" t="inlineStr">
        <is>
          <t>Yes - value computed</t>
        </is>
      </c>
      <c r="K70" s="7" t="inlineStr"/>
    </row>
    <row r="71" ht="58" customHeight="1">
      <c r="A71" s="6" t="n">
        <v>70</v>
      </c>
      <c r="B71" s="6" t="n">
        <v>10</v>
      </c>
      <c r="C71" s="6" t="inlineStr">
        <is>
          <t>TTMAC-011</t>
        </is>
      </c>
      <c r="D71" s="6" t="inlineStr">
        <is>
          <t>TTMAC-011-A01</t>
        </is>
      </c>
      <c r="E71" s="6" t="inlineStr">
        <is>
          <t>TTMAC-011-G5</t>
        </is>
      </c>
      <c r="F71" s="6" t="inlineStr">
        <is>
          <t>Completion Measures: "100% of deployed interactive elements maintain physical tap boundaries &gt;= 48 x 48 dp."</t>
        </is>
      </c>
      <c r="G71" s="6" t="inlineStr">
        <is>
          <t>Every touch target rendered by the app at 320 / 393 / 1024dp measures at least 48dp on its shortest side</t>
        </is>
      </c>
      <c r="H71" s="6" t="inlineStr">
        <is>
          <t>Widget / measured</t>
        </is>
      </c>
      <c r="I71" s="6" t="inlineStr">
        <is>
          <t>Active</t>
        </is>
      </c>
      <c r="J71" s="6" t="inlineStr">
        <is>
          <t>No - needs flutter test</t>
        </is>
      </c>
      <c r="K71" s="7" t="inlineStr"/>
    </row>
    <row r="72" ht="58" customHeight="1">
      <c r="A72" s="5" t="n">
        <v>71</v>
      </c>
      <c r="B72" s="5" t="n">
        <v>10</v>
      </c>
      <c r="C72" s="5" t="inlineStr">
        <is>
          <t>TTMAC-011</t>
        </is>
      </c>
      <c r="D72" s="5" t="inlineStr">
        <is>
          <t>TTMAC-011-A01</t>
        </is>
      </c>
      <c r="E72" s="5" t="inlineStr">
        <is>
          <t>TTMAC-011-G6</t>
        </is>
      </c>
      <c r="F72" s="5" t="inlineStr">
        <is>
          <t>4 Substeps #3: "preserve an 8 dp safety spacing margin."</t>
        </is>
      </c>
      <c r="G72" s="5" t="inlineStr">
        <is>
          <t>HabotTouchRow renders adjacent targets with a measured gap of at least 8dp</t>
        </is>
      </c>
      <c r="H72" s="5" t="inlineStr">
        <is>
          <t>Widget / measured</t>
        </is>
      </c>
      <c r="I72" s="5" t="inlineStr">
        <is>
          <t>Active</t>
        </is>
      </c>
      <c r="J72" s="5" t="inlineStr">
        <is>
          <t>No - needs flutter test</t>
        </is>
      </c>
      <c r="K72" s="7" t="inlineStr"/>
    </row>
    <row r="73" ht="58" customHeight="1">
      <c r="A73" s="6" t="n">
        <v>72</v>
      </c>
      <c r="B73" s="6" t="n">
        <v>10</v>
      </c>
      <c r="C73" s="6" t="inlineStr">
        <is>
          <t>TTMAC-011</t>
        </is>
      </c>
      <c r="D73" s="6" t="inlineStr">
        <is>
          <t>TTMAC-011-A01</t>
        </is>
      </c>
      <c r="E73" s="6" t="inlineStr">
        <is>
          <t>TTMAC-011-G7</t>
        </is>
      </c>
      <c r="F73" s="6" t="inlineStr">
        <is>
          <t>4 Substeps #2: "Inject transparent target expansion boxes around micro-icons or selector ticks." + #4: "Map long-press interaction paths to reveal detailed tooltips."</t>
        </is>
      </c>
      <c r="G73" s="6" t="inlineStr">
        <is>
          <t>A 12dp icon renders at 12dp but is wrapped in a &gt;=48dp tap area, and long-press surfaces the detail tooltip</t>
        </is>
      </c>
      <c r="H73" s="6" t="inlineStr">
        <is>
          <t>Widget / measured</t>
        </is>
      </c>
      <c r="I73" s="6" t="inlineStr">
        <is>
          <t>Active</t>
        </is>
      </c>
      <c r="J73" s="6" t="inlineStr">
        <is>
          <t>No - needs flutter test</t>
        </is>
      </c>
      <c r="K73" s="7" t="inlineStr"/>
    </row>
    <row r="74" ht="58" customHeight="1">
      <c r="A74" s="5" t="n">
        <v>73</v>
      </c>
      <c r="B74" s="5" t="n">
        <v>11</v>
      </c>
      <c r="C74" s="5" t="inlineStr">
        <is>
          <t>BPTR-0422</t>
        </is>
      </c>
      <c r="D74" s="5" t="inlineStr">
        <is>
          <t>BPTR-0422-A01</t>
        </is>
      </c>
      <c r="E74" s="5" t="inlineStr">
        <is>
          <t>BPTR-0422-G1</t>
        </is>
      </c>
      <c r="F74" s="5" t="inlineStr">
        <is>
          <t>4 Substeps #1: "Set animation duration (300ms)."</t>
        </is>
      </c>
      <c r="G74" s="5" t="inlineStr">
        <is>
          <t>Failure duration is exactly 300ms and is the emphasized rung of the shared ladder</t>
        </is>
      </c>
      <c r="H74" s="5" t="inlineStr">
        <is>
          <t>Unit / logic</t>
        </is>
      </c>
      <c r="I74" s="5" t="inlineStr">
        <is>
          <t>Active</t>
        </is>
      </c>
      <c r="J74" s="5" t="inlineStr">
        <is>
          <t>Yes - value computed</t>
        </is>
      </c>
      <c r="K74" s="7" t="inlineStr"/>
    </row>
    <row r="75" ht="58" customHeight="1">
      <c r="A75" s="6" t="n">
        <v>74</v>
      </c>
      <c r="B75" s="6" t="n">
        <v>11</v>
      </c>
      <c r="C75" s="6" t="inlineStr">
        <is>
          <t>BPTR-0422</t>
        </is>
      </c>
      <c r="D75" s="6" t="inlineStr">
        <is>
          <t>BPTR-0422-A01</t>
        </is>
      </c>
      <c r="E75" s="6" t="inlineStr">
        <is>
          <t>BPTR-0422-G2</t>
        </is>
      </c>
      <c r="F75" s="6" t="inlineStr">
        <is>
          <t>4 Substeps #2: "Define easing curve."</t>
        </is>
      </c>
      <c r="G75" s="6" t="inlineStr">
        <is>
          <t>A failure curve is defined, is decelerating, and is distinct from the generic default</t>
        </is>
      </c>
      <c r="H75" s="6" t="inlineStr">
        <is>
          <t>Unit / logic</t>
        </is>
      </c>
      <c r="I75" s="6" t="inlineStr">
        <is>
          <t>Active</t>
        </is>
      </c>
      <c r="J75" s="6" t="inlineStr">
        <is>
          <t>Yes - value computed</t>
        </is>
      </c>
      <c r="K75" s="7" t="inlineStr"/>
    </row>
    <row r="76" ht="58" customHeight="1">
      <c r="A76" s="5" t="n">
        <v>75</v>
      </c>
      <c r="B76" s="5" t="n">
        <v>11</v>
      </c>
      <c r="C76" s="5" t="inlineStr">
        <is>
          <t>BPTR-0422</t>
        </is>
      </c>
      <c r="D76" s="5" t="inlineStr">
        <is>
          <t>BPTR-0422-A01</t>
        </is>
      </c>
      <c r="E76" s="5" t="inlineStr">
        <is>
          <t>BPTR-0422-G3</t>
        </is>
      </c>
      <c r="F76" s="5" t="inlineStr">
        <is>
          <t>4 Substeps #3: "Decide dimming intensity." + Poka-Yoke: "Animation physically locks surrounding UI until acknowledged."</t>
        </is>
      </c>
      <c r="G76" s="5" t="inlineStr">
        <is>
          <t>Dim opacity sits in a usable band and the UI-lock flag is on</t>
        </is>
      </c>
      <c r="H76" s="5" t="inlineStr">
        <is>
          <t>Unit / logic</t>
        </is>
      </c>
      <c r="I76" s="5" t="inlineStr">
        <is>
          <t>Active</t>
        </is>
      </c>
      <c r="J76" s="5" t="inlineStr">
        <is>
          <t>Yes - value computed</t>
        </is>
      </c>
      <c r="K76" s="7" t="inlineStr"/>
    </row>
    <row r="77" ht="58" customHeight="1">
      <c r="A77" s="6" t="n">
        <v>76</v>
      </c>
      <c r="B77" s="6" t="n">
        <v>11</v>
      </c>
      <c r="C77" s="6" t="inlineStr">
        <is>
          <t>BPTR-0422</t>
        </is>
      </c>
      <c r="D77" s="6" t="inlineStr">
        <is>
          <t>BPTR-0422-A01</t>
        </is>
      </c>
      <c r="E77" s="6" t="inlineStr">
        <is>
          <t>BPTR-0422-G4</t>
        </is>
      </c>
      <c r="F77" s="6" t="inlineStr">
        <is>
          <t>4 Substeps #4: "Set auto-scroll."</t>
        </is>
      </c>
      <c r="G77" s="6" t="inlineStr">
        <is>
          <t>Auto-scroll is decided (enabled) and has a duration no slower than the failure animation itself</t>
        </is>
      </c>
      <c r="H77" s="6" t="inlineStr">
        <is>
          <t>Unit / logic</t>
        </is>
      </c>
      <c r="I77" s="6" t="inlineStr">
        <is>
          <t>Active</t>
        </is>
      </c>
      <c r="J77" s="6" t="inlineStr">
        <is>
          <t>Yes - value computed</t>
        </is>
      </c>
      <c r="K77" s="7" t="inlineStr"/>
    </row>
    <row r="78" ht="58" customHeight="1">
      <c r="A78" s="5" t="n">
        <v>77</v>
      </c>
      <c r="B78" s="5" t="n">
        <v>11</v>
      </c>
      <c r="C78" s="5" t="inlineStr">
        <is>
          <t>BPTR-0422</t>
        </is>
      </c>
      <c r="D78" s="5" t="inlineStr">
        <is>
          <t>BPTR-0422-A01</t>
        </is>
      </c>
      <c r="E78" s="5" t="inlineStr">
        <is>
          <t>BPTR-0422-G5</t>
        </is>
      </c>
      <c r="F78" s="5" t="inlineStr">
        <is>
          <t>Self-Chasing: "Failed element pulses continuously until resolved."</t>
        </is>
      </c>
      <c r="G78" s="5" t="inlineStr">
        <is>
          <t>Pulse period and opacity bounds are defined and coherent</t>
        </is>
      </c>
      <c r="H78" s="5" t="inlineStr">
        <is>
          <t>Unit / logic</t>
        </is>
      </c>
      <c r="I78" s="5" t="inlineStr">
        <is>
          <t>Active</t>
        </is>
      </c>
      <c r="J78" s="5" t="inlineStr">
        <is>
          <t>Yes - value computed</t>
        </is>
      </c>
      <c r="K78" s="7" t="inlineStr"/>
    </row>
    <row r="79" ht="58" customHeight="1">
      <c r="A79" s="6" t="n">
        <v>78</v>
      </c>
      <c r="B79" s="6" t="n">
        <v>11</v>
      </c>
      <c r="C79" s="6" t="inlineStr">
        <is>
          <t>BPTR-0422</t>
        </is>
      </c>
      <c r="D79" s="6" t="inlineStr">
        <is>
          <t>BPTR-0422-A01</t>
        </is>
      </c>
      <c r="E79" s="6" t="inlineStr">
        <is>
          <t>BPTR-0422-G6</t>
        </is>
      </c>
      <c r="F79" s="6" t="inlineStr">
        <is>
          <t>Completion Measures: "Standardized CSS transitions defined." + What Standardized Must Be Done: "Motion and animation design tokens."</t>
        </is>
      </c>
      <c r="G79" s="6" t="inlineStr">
        <is>
          <t>The duration ladder is strictly ascending, every curve is a real curve, and no interactive transition exceeds the 200ms ceiling</t>
        </is>
      </c>
      <c r="H79" s="6" t="inlineStr">
        <is>
          <t>Widget / measured</t>
        </is>
      </c>
      <c r="I79" s="6" t="inlineStr">
        <is>
          <t>Active</t>
        </is>
      </c>
      <c r="J79" s="6" t="inlineStr">
        <is>
          <t>Yes - value computed</t>
        </is>
      </c>
      <c r="K79" s="7" t="inlineStr"/>
    </row>
    <row r="80" ht="58" customHeight="1">
      <c r="A80" s="5" t="n">
        <v>79</v>
      </c>
      <c r="B80" s="5" t="n">
        <v>11</v>
      </c>
      <c r="C80" s="5" t="inlineStr">
        <is>
          <t>BPTR-0422</t>
        </is>
      </c>
      <c r="D80" s="5" t="inlineStr">
        <is>
          <t>BPTR-0422-A01</t>
        </is>
      </c>
      <c r="E80" s="5" t="inlineStr">
        <is>
          <t>BPTR-0422-G7</t>
        </is>
      </c>
      <c r="F80" s="5" t="inlineStr">
        <is>
          <t>Common Library to Store: "Motion &amp; Animation System" -- tokens.json is the source of truth.</t>
        </is>
      </c>
      <c r="G80" s="5" t="inlineStr">
        <is>
          <t>Every motion constant in Dart matches tokens.json exactly (no drift)</t>
        </is>
      </c>
      <c r="H80" s="5" t="inlineStr">
        <is>
          <t>Token drift</t>
        </is>
      </c>
      <c r="I80" s="5" t="inlineStr">
        <is>
          <t>Active</t>
        </is>
      </c>
      <c r="J80" s="5" t="inlineStr">
        <is>
          <t>Yes - value computed</t>
        </is>
      </c>
      <c r="K80" s="7" t="inlineStr"/>
    </row>
    <row r="81" ht="58" customHeight="1">
      <c r="A81" s="6" t="n">
        <v>80</v>
      </c>
      <c r="B81" s="6" t="n">
        <v>11</v>
      </c>
      <c r="C81" s="6" t="inlineStr">
        <is>
          <t>BPTR-0422</t>
        </is>
      </c>
      <c r="D81" s="6" t="inlineStr">
        <is>
          <t>BPTR-0422-A01</t>
        </is>
      </c>
      <c r="E81" s="6" t="inlineStr">
        <is>
          <t>BPTR-0422-G8</t>
        </is>
      </c>
      <c r="F81" s="6" t="inlineStr">
        <is>
          <t>Atomic Reusability: "Wraps all compliance/validation failures." + Mobile-First UX Decision: "Motion draws eye to failure point on any screen."</t>
        </is>
      </c>
      <c r="G81" s="6" t="inlineStr">
        <is>
          <t>Failure, stepper-enter, stepper-exit and standard each resolve to a distinct curve, so motion carries meaning</t>
        </is>
      </c>
      <c r="H81" s="6" t="inlineStr">
        <is>
          <t>Unit / logic</t>
        </is>
      </c>
      <c r="I81" s="6" t="inlineStr">
        <is>
          <t>Active</t>
        </is>
      </c>
      <c r="J81" s="6" t="inlineStr">
        <is>
          <t>Yes - value computed</t>
        </is>
      </c>
      <c r="K81" s="7" t="inlineStr"/>
    </row>
    <row r="82" ht="58" customHeight="1">
      <c r="A82" s="5" t="n">
        <v>81</v>
      </c>
      <c r="B82" s="5" t="n">
        <v>12</v>
      </c>
      <c r="C82" s="5" t="inlineStr">
        <is>
          <t>REF-377</t>
        </is>
      </c>
      <c r="D82" s="5" t="inlineStr">
        <is>
          <t>REF-377-A01</t>
        </is>
      </c>
      <c r="E82" s="5" t="inlineStr">
        <is>
          <t>REF-377-G1</t>
        </is>
      </c>
      <c r="F82" s="5" t="inlineStr">
        <is>
          <t>4 Substeps #1: "Define slide-in duration (200ms)."</t>
        </is>
      </c>
      <c r="G82" s="5" t="inlineStr">
        <is>
          <t>Slide-in is exactly 200ms</t>
        </is>
      </c>
      <c r="H82" s="5" t="inlineStr">
        <is>
          <t>Unit / logic</t>
        </is>
      </c>
      <c r="I82" s="5" t="inlineStr">
        <is>
          <t>Active</t>
        </is>
      </c>
      <c r="J82" s="5" t="inlineStr">
        <is>
          <t>Yes - value computed</t>
        </is>
      </c>
      <c r="K82" s="7" t="inlineStr"/>
    </row>
    <row r="83" ht="58" customHeight="1">
      <c r="A83" s="6" t="n">
        <v>82</v>
      </c>
      <c r="B83" s="6" t="n">
        <v>12</v>
      </c>
      <c r="C83" s="6" t="inlineStr">
        <is>
          <t>REF-377</t>
        </is>
      </c>
      <c r="D83" s="6" t="inlineStr">
        <is>
          <t>REF-377-A01</t>
        </is>
      </c>
      <c r="E83" s="6" t="inlineStr">
        <is>
          <t>REF-377-G2</t>
        </is>
      </c>
      <c r="F83" s="6" t="inlineStr">
        <is>
          <t>4 Substeps #2: "Define slide-out duration."</t>
        </is>
      </c>
      <c r="G83" s="6" t="inlineStr">
        <is>
          <t>Slide-out is defined, non-zero, and no slower than the slide-in so the outgoing step clears first</t>
        </is>
      </c>
      <c r="H83" s="6" t="inlineStr">
        <is>
          <t>Unit / logic</t>
        </is>
      </c>
      <c r="I83" s="6" t="inlineStr">
        <is>
          <t>Active</t>
        </is>
      </c>
      <c r="J83" s="6" t="inlineStr">
        <is>
          <t>Yes - value computed</t>
        </is>
      </c>
      <c r="K83" s="7" t="inlineStr"/>
    </row>
    <row r="84" ht="58" customHeight="1">
      <c r="A84" s="5" t="n">
        <v>83</v>
      </c>
      <c r="B84" s="5" t="n">
        <v>12</v>
      </c>
      <c r="C84" s="5" t="inlineStr">
        <is>
          <t>REF-377</t>
        </is>
      </c>
      <c r="D84" s="5" t="inlineStr">
        <is>
          <t>REF-377-A01</t>
        </is>
      </c>
      <c r="E84" s="5" t="inlineStr">
        <is>
          <t>REF-377-G3</t>
        </is>
      </c>
      <c r="F84" s="5" t="inlineStr">
        <is>
          <t>4 Substeps #3: "Decide easing function."</t>
        </is>
      </c>
      <c r="G84" s="5" t="inlineStr">
        <is>
          <t>Enter and exit have distinct curves, both well-formed</t>
        </is>
      </c>
      <c r="H84" s="5" t="inlineStr">
        <is>
          <t>Unit / logic</t>
        </is>
      </c>
      <c r="I84" s="5" t="inlineStr">
        <is>
          <t>Active</t>
        </is>
      </c>
      <c r="J84" s="5" t="inlineStr">
        <is>
          <t>Yes - value computed</t>
        </is>
      </c>
      <c r="K84" s="7" t="inlineStr"/>
    </row>
    <row r="85" ht="58" customHeight="1">
      <c r="A85" s="6" t="n">
        <v>84</v>
      </c>
      <c r="B85" s="6" t="n">
        <v>12</v>
      </c>
      <c r="C85" s="6" t="inlineStr">
        <is>
          <t>REF-377</t>
        </is>
      </c>
      <c r="D85" s="6" t="inlineStr">
        <is>
          <t>REF-377-A01</t>
        </is>
      </c>
      <c r="E85" s="6" t="inlineStr">
        <is>
          <t>REF-377-G4</t>
        </is>
      </c>
      <c r="F85" s="6" t="inlineStr">
        <is>
          <t>4 Substeps #4: "Respect reduced motion preferences." + UI Implementation: "prefers-reduced-motion media queries."</t>
        </is>
      </c>
      <c r="G85" s="6" t="inlineStr">
        <is>
          <t>HabotMotionPolicy collapses every duration to zero and stops looping motion under MediaQuery.disableAnimations</t>
        </is>
      </c>
      <c r="H85" s="6" t="inlineStr">
        <is>
          <t>Unit / logic</t>
        </is>
      </c>
      <c r="I85" s="6" t="inlineStr">
        <is>
          <t>Active</t>
        </is>
      </c>
      <c r="J85" s="6" t="inlineStr">
        <is>
          <t>No - needs flutter test</t>
        </is>
      </c>
      <c r="K85" s="7" t="inlineStr"/>
    </row>
    <row r="86" ht="58" customHeight="1">
      <c r="A86" s="5" t="n">
        <v>85</v>
      </c>
      <c r="B86" s="5" t="n">
        <v>12</v>
      </c>
      <c r="C86" s="5" t="inlineStr">
        <is>
          <t>REF-377</t>
        </is>
      </c>
      <c r="D86" s="5" t="inlineStr">
        <is>
          <t>REF-377-A01</t>
        </is>
      </c>
      <c r="E86" s="5" t="inlineStr">
        <is>
          <t>REF-377-G5</t>
        </is>
      </c>
      <c r="F86" s="5" t="inlineStr">
        <is>
          <t>Completion Measures: "Transitions feel instantaneous and fluid."</t>
        </is>
      </c>
      <c r="G86" s="5" t="inlineStr">
        <is>
          <t>Both stepper durations sit at or under the 200ms interactive ceiling</t>
        </is>
      </c>
      <c r="H86" s="5" t="inlineStr">
        <is>
          <t>Widget / measured</t>
        </is>
      </c>
      <c r="I86" s="5" t="inlineStr">
        <is>
          <t>Active</t>
        </is>
      </c>
      <c r="J86" s="5" t="inlineStr">
        <is>
          <t>Yes - value computed</t>
        </is>
      </c>
      <c r="K86" s="7" t="inlineStr"/>
    </row>
    <row r="87" ht="58" customHeight="1">
      <c r="A87" s="6" t="n">
        <v>86</v>
      </c>
      <c r="B87" s="6" t="n">
        <v>12</v>
      </c>
      <c r="C87" s="6" t="inlineStr">
        <is>
          <t>REF-377</t>
        </is>
      </c>
      <c r="D87" s="6" t="inlineStr">
        <is>
          <t>REF-377-A01</t>
        </is>
      </c>
      <c r="E87" s="6" t="inlineStr">
        <is>
          <t>REF-377-G6</t>
        </is>
      </c>
      <c r="F87" s="6" t="inlineStr">
        <is>
          <t>Poka-Yoke: "Unmounts previous steps from DOM to prevent accidental back-edits."</t>
        </is>
      </c>
      <c r="G87" s="6" t="inlineStr">
        <is>
          <t>After advancing, the previous step is gone from the tree -- its fields cannot be focused or edited</t>
        </is>
      </c>
      <c r="H87" s="6" t="inlineStr">
        <is>
          <t>Widget / measured</t>
        </is>
      </c>
      <c r="I87" s="6" t="inlineStr">
        <is>
          <t>Active</t>
        </is>
      </c>
      <c r="J87" s="6" t="inlineStr">
        <is>
          <t>No - needs flutter test</t>
        </is>
      </c>
      <c r="K87" s="7" t="inlineStr"/>
    </row>
    <row r="88" ht="58" customHeight="1">
      <c r="A88" s="5" t="n">
        <v>87</v>
      </c>
      <c r="B88" s="5" t="n">
        <v>13</v>
      </c>
      <c r="C88" s="5" t="inlineStr">
        <is>
          <t>BPTR-0128</t>
        </is>
      </c>
      <c r="D88" s="5" t="inlineStr">
        <is>
          <t>BPTR-0128-A01</t>
        </is>
      </c>
      <c r="E88" s="5" t="inlineStr">
        <is>
          <t>BPTR-0128-G1</t>
        </is>
      </c>
      <c r="F88" s="5" t="inlineStr">
        <is>
          <t>4 Substeps #1: "Define global tokens forcing minimal tap-target area distributions." + Mobile-First UX: "minimum 48 x 48px." + UI: "absolute minimum safety padding boundary of 8px."</t>
        </is>
      </c>
      <c r="G88" s="5" t="inlineStr">
        <is>
          <t>The 48dp target and 8dp safety padding are tokens, and the button defaults to the safety padding</t>
        </is>
      </c>
      <c r="H88" s="5" t="inlineStr">
        <is>
          <t>Widget / measured</t>
        </is>
      </c>
      <c r="I88" s="5" t="inlineStr">
        <is>
          <t>Active</t>
        </is>
      </c>
      <c r="J88" s="5" t="inlineStr">
        <is>
          <t>Yes - value computed</t>
        </is>
      </c>
      <c r="K88" s="7" t="inlineStr"/>
    </row>
    <row r="89" ht="58" customHeight="1">
      <c r="A89" s="6" t="n">
        <v>88</v>
      </c>
      <c r="B89" s="6" t="n">
        <v>13</v>
      </c>
      <c r="C89" s="6" t="inlineStr">
        <is>
          <t>BPTR-0128</t>
        </is>
      </c>
      <c r="D89" s="6" t="inlineStr">
        <is>
          <t>BPTR-0128-A01</t>
        </is>
      </c>
      <c r="E89" s="6" t="inlineStr">
        <is>
          <t>BPTR-0128-G2</t>
        </is>
      </c>
      <c r="F89" s="6" t="inlineStr">
        <is>
          <t>4 Substeps #2: "Build an abstract, pure AtomicButton component under 20 lines of total functional code."</t>
        </is>
      </c>
      <c r="G89" s="6" t="inlineStr">
        <is>
          <t>AtomicButton.build is 20 executable lines or fewer</t>
        </is>
      </c>
      <c r="H89" s="6" t="inlineStr">
        <is>
          <t>Static scan</t>
        </is>
      </c>
      <c r="I89" s="6" t="inlineStr">
        <is>
          <t>Active</t>
        </is>
      </c>
      <c r="J89" s="6" t="inlineStr">
        <is>
          <t>Yes - value computed</t>
        </is>
      </c>
      <c r="K89" s="7" t="inlineStr"/>
    </row>
    <row r="90" ht="58" customHeight="1">
      <c r="A90" s="5" t="n">
        <v>89</v>
      </c>
      <c r="B90" s="5" t="n">
        <v>13</v>
      </c>
      <c r="C90" s="5" t="inlineStr">
        <is>
          <t>BPTR-0128</t>
        </is>
      </c>
      <c r="D90" s="5" t="inlineStr">
        <is>
          <t>BPTR-0128-A01</t>
        </is>
      </c>
      <c r="E90" s="5" t="inlineStr">
        <is>
          <t>BPTR-0128-G3</t>
        </is>
      </c>
      <c r="F90" s="5" t="inlineStr">
        <is>
          <t>4 Substeps #3: "Code dynamic visual feedback systems simulating rapid interactive state states (active, focus, hover)."</t>
        </is>
      </c>
      <c r="G90" s="5" t="inlineStr">
        <is>
          <t>Every MD3 interaction state has a distinct, ordered state-layer opacity</t>
        </is>
      </c>
      <c r="H90" s="5" t="inlineStr">
        <is>
          <t>Unit / logic</t>
        </is>
      </c>
      <c r="I90" s="5" t="inlineStr">
        <is>
          <t>Active</t>
        </is>
      </c>
      <c r="J90" s="5" t="inlineStr">
        <is>
          <t>Yes - value computed</t>
        </is>
      </c>
      <c r="K90" s="7" t="inlineStr"/>
    </row>
    <row r="91" ht="58" customHeight="1">
      <c r="A91" s="6" t="n">
        <v>90</v>
      </c>
      <c r="B91" s="6" t="n">
        <v>13</v>
      </c>
      <c r="C91" s="6" t="inlineStr">
        <is>
          <t>BPTR-0128</t>
        </is>
      </c>
      <c r="D91" s="6" t="inlineStr">
        <is>
          <t>BPTR-0128-A01</t>
        </is>
      </c>
      <c r="E91" s="6" t="inlineStr">
        <is>
          <t>BPTR-0128-G4</t>
        </is>
      </c>
      <c r="F91" s="6" t="inlineStr">
        <is>
          <t>4 Substeps #4: "Implement performance-tuned passive touch listeners directly to eradicate 300ms mobile touch-click delays completely."</t>
        </is>
      </c>
      <c r="G91" s="6" t="inlineStr">
        <is>
          <t>Tap callback fires within a single frame of the gesture -- no delay is introduced by the design system</t>
        </is>
      </c>
      <c r="H91" s="6" t="inlineStr">
        <is>
          <t>Widget / measured</t>
        </is>
      </c>
      <c r="I91" s="6" t="inlineStr">
        <is>
          <t>Active</t>
        </is>
      </c>
      <c r="J91" s="6" t="inlineStr">
        <is>
          <t>No - needs flutter test</t>
        </is>
      </c>
      <c r="K91" s="7" t="inlineStr"/>
    </row>
    <row r="92" ht="58" customHeight="1">
      <c r="A92" s="5" t="n">
        <v>91</v>
      </c>
      <c r="B92" s="5" t="n">
        <v>13</v>
      </c>
      <c r="C92" s="5" t="inlineStr">
        <is>
          <t>BPTR-0128</t>
        </is>
      </c>
      <c r="D92" s="5" t="inlineStr">
        <is>
          <t>BPTR-0128-A01</t>
        </is>
      </c>
      <c r="E92" s="5" t="inlineStr">
        <is>
          <t>BPTR-0128-G5</t>
        </is>
      </c>
      <c r="F92" s="5" t="inlineStr">
        <is>
          <t>Poka-Yoke: "compiler constraints instantly flag compile errors if a developer creates a clickable component without specifying explicit touch padding parameters."</t>
        </is>
      </c>
      <c r="G92" s="5" t="inlineStr">
        <is>
          <t>touchPadding is a REQUIRED constructor argument with a validating assert -- it cannot be omitted or set negative</t>
        </is>
      </c>
      <c r="H92" s="5" t="inlineStr">
        <is>
          <t>Static scan</t>
        </is>
      </c>
      <c r="I92" s="5" t="inlineStr">
        <is>
          <t>Active</t>
        </is>
      </c>
      <c r="J92" s="5" t="inlineStr">
        <is>
          <t>Yes - value computed</t>
        </is>
      </c>
      <c r="K92" s="7" t="inlineStr"/>
    </row>
    <row r="93" ht="58" customHeight="1">
      <c r="A93" s="6" t="n">
        <v>92</v>
      </c>
      <c r="B93" s="6" t="n">
        <v>13</v>
      </c>
      <c r="C93" s="6" t="inlineStr">
        <is>
          <t>BPTR-0128</t>
        </is>
      </c>
      <c r="D93" s="6" t="inlineStr">
        <is>
          <t>BPTR-0128-A01</t>
        </is>
      </c>
      <c r="E93" s="6" t="inlineStr">
        <is>
          <t>BPTR-0128-G6</t>
        </is>
      </c>
      <c r="F93" s="6" t="inlineStr">
        <is>
          <t>Self-Chasing: "Runtime assertions write explicit warning flags if computed bounding client rectangles fall beneath target 48px." + Completion: "Lighthouse accessibility 100 on interactive target criteria."</t>
        </is>
      </c>
      <c r="G93" s="6" t="inlineStr">
        <is>
          <t>A 10dp glyph renders inside a target that clears 48dp plus the 8dp safety boundary, with zero audit violations</t>
        </is>
      </c>
      <c r="H93" s="6" t="inlineStr">
        <is>
          <t>Widget / measured</t>
        </is>
      </c>
      <c r="I93" s="6" t="inlineStr">
        <is>
          <t>Active</t>
        </is>
      </c>
      <c r="J93" s="6" t="inlineStr">
        <is>
          <t>No - needs flutter test</t>
        </is>
      </c>
      <c r="K93" s="7" t="inlineStr"/>
    </row>
    <row r="94" ht="58" customHeight="1">
      <c r="A94" s="5" t="n">
        <v>93</v>
      </c>
      <c r="B94" s="5" t="n">
        <v>13</v>
      </c>
      <c r="C94" s="5" t="inlineStr">
        <is>
          <t>BPTR-0128</t>
        </is>
      </c>
      <c r="D94" s="5" t="inlineStr">
        <is>
          <t>BPTR-0128-A01</t>
        </is>
      </c>
      <c r="E94" s="5" t="inlineStr">
        <is>
          <t>BPTR-0128-G7</t>
        </is>
      </c>
      <c r="F94" s="5" t="inlineStr">
        <is>
          <t>Completion Measures: "Lighthouse accessibility checks scoring an absolute 100 on interactive target criteria."</t>
        </is>
      </c>
      <c r="G94" s="5" t="inlineStr">
        <is>
          <t>Every AtomicButton carries a required semantic label and an accurate enabled flag -- an unlabelled button cannot be built</t>
        </is>
      </c>
      <c r="H94" s="5" t="inlineStr">
        <is>
          <t>Widget / measured</t>
        </is>
      </c>
      <c r="I94" s="5" t="inlineStr">
        <is>
          <t>Active</t>
        </is>
      </c>
      <c r="J94" s="5" t="inlineStr">
        <is>
          <t>No - needs flutter test</t>
        </is>
      </c>
      <c r="K94" s="7" t="inlineStr"/>
    </row>
    <row r="95" ht="58" customHeight="1">
      <c r="A95" s="6" t="n">
        <v>94</v>
      </c>
      <c r="B95" s="6" t="n">
        <v>14</v>
      </c>
      <c r="C95" s="6" t="inlineStr">
        <is>
          <t>TTMAC-014</t>
        </is>
      </c>
      <c r="D95" s="6" t="inlineStr">
        <is>
          <t>TTMAC-014-A01</t>
        </is>
      </c>
      <c r="E95" s="6" t="inlineStr">
        <is>
          <t>TTMAC-014-G1</t>
        </is>
      </c>
      <c r="F95" s="6" t="inlineStr">
        <is>
          <t>Decision to be Made Before Setup Step: "Establish if expanding hit boxes beyond visible component outlines is acceptable for small icons."</t>
        </is>
      </c>
      <c r="G95" s="6" t="inlineStr">
        <is>
          <t>The decision is recorded as YES and the padding maths implements it -- a small glyph gains a transparent target rather than growing</t>
        </is>
      </c>
      <c r="H95" s="6" t="inlineStr">
        <is>
          <t>Static scan</t>
        </is>
      </c>
      <c r="I95" s="6" t="inlineStr">
        <is>
          <t>Active</t>
        </is>
      </c>
      <c r="J95" s="6" t="inlineStr">
        <is>
          <t>Yes - value computed</t>
        </is>
      </c>
      <c r="K95" s="7" t="inlineStr"/>
    </row>
    <row r="96" ht="58" customHeight="1">
      <c r="A96" s="5" t="n">
        <v>95</v>
      </c>
      <c r="B96" s="5" t="n">
        <v>14</v>
      </c>
      <c r="C96" s="5" t="inlineStr">
        <is>
          <t>TTMAC-014</t>
        </is>
      </c>
      <c r="D96" s="5" t="inlineStr">
        <is>
          <t>TTMAC-014-A01</t>
        </is>
      </c>
      <c r="E96" s="5" t="inlineStr">
        <is>
          <t>TTMAC-014-G2</t>
        </is>
      </c>
      <c r="F96" s="5" t="inlineStr">
        <is>
          <t>4 Substeps #1: "Wrap all interactive components in protective padding zones matching minimum target dimensions."</t>
        </is>
      </c>
      <c r="G96" s="5" t="inlineStr">
        <is>
          <t>Padding always resolves the glyph to at least the 48dp floor, for every size from 1dp up</t>
        </is>
      </c>
      <c r="H96" s="5" t="inlineStr">
        <is>
          <t>Unit / logic</t>
        </is>
      </c>
      <c r="I96" s="5" t="inlineStr">
        <is>
          <t>Active</t>
        </is>
      </c>
      <c r="J96" s="5" t="inlineStr">
        <is>
          <t>Yes - value computed</t>
        </is>
      </c>
      <c r="K96" s="7" t="inlineStr"/>
    </row>
    <row r="97" ht="58" customHeight="1">
      <c r="A97" s="6" t="n">
        <v>96</v>
      </c>
      <c r="B97" s="6" t="n">
        <v>14</v>
      </c>
      <c r="C97" s="6" t="inlineStr">
        <is>
          <t>TTMAC-014</t>
        </is>
      </c>
      <c r="D97" s="6" t="inlineStr">
        <is>
          <t>TTMAC-014-A01</t>
        </is>
      </c>
      <c r="E97" s="6" t="inlineStr">
        <is>
          <t>TTMAC-014-G3</t>
        </is>
      </c>
      <c r="F97" s="6" t="inlineStr">
        <is>
          <t>4 Substeps #2: "Set default dimensions for icon actions to maintain structural usability."</t>
        </is>
      </c>
      <c r="G97" s="6" t="inlineStr">
        <is>
          <t>Three icon sizes are defined, ascending, all on the 4dp sub-baseline, and all below the touch floor (so padding always does the work)</t>
        </is>
      </c>
      <c r="H97" s="6" t="inlineStr">
        <is>
          <t>Unit / logic</t>
        </is>
      </c>
      <c r="I97" s="6" t="inlineStr">
        <is>
          <t>Active</t>
        </is>
      </c>
      <c r="J97" s="6" t="inlineStr">
        <is>
          <t>Yes - value computed</t>
        </is>
      </c>
      <c r="K97" s="7" t="inlineStr"/>
    </row>
    <row r="98" ht="58" customHeight="1">
      <c r="A98" s="5" t="n">
        <v>97</v>
      </c>
      <c r="B98" s="5" t="n">
        <v>14</v>
      </c>
      <c r="C98" s="5" t="inlineStr">
        <is>
          <t>TTMAC-014</t>
        </is>
      </c>
      <c r="D98" s="5" t="inlineStr">
        <is>
          <t>TTMAC-014-A01</t>
        </is>
      </c>
      <c r="E98" s="5" t="inlineStr">
        <is>
          <t>TTMAC-014-G4</t>
        </is>
      </c>
      <c r="F98" s="5" t="inlineStr">
        <is>
          <t>4 Substeps #3: "Configure clearance spaces around closely positioned items to avoid accidental double taps."</t>
        </is>
      </c>
      <c r="G98" s="5" t="inlineStr">
        <is>
          <t>Clearance is the 8dp token and the predicate rejects touching or overlapping targets</t>
        </is>
      </c>
      <c r="H98" s="5" t="inlineStr">
        <is>
          <t>Widget / measured</t>
        </is>
      </c>
      <c r="I98" s="5" t="inlineStr">
        <is>
          <t>Active</t>
        </is>
      </c>
      <c r="J98" s="5" t="inlineStr">
        <is>
          <t>Yes - value computed</t>
        </is>
      </c>
      <c r="K98" s="7" t="inlineStr"/>
    </row>
    <row r="99" ht="58" customHeight="1">
      <c r="A99" s="6" t="n">
        <v>98</v>
      </c>
      <c r="B99" s="6" t="n">
        <v>14</v>
      </c>
      <c r="C99" s="6" t="inlineStr">
        <is>
          <t>TTMAC-014</t>
        </is>
      </c>
      <c r="D99" s="6" t="inlineStr">
        <is>
          <t>TTMAC-014-A01</t>
        </is>
      </c>
      <c r="E99" s="6" t="inlineStr">
        <is>
          <t>TTMAC-014-G5</t>
        </is>
      </c>
      <c r="F99" s="6" t="inlineStr">
        <is>
          <t>Mobile-First UI Decision: "Ensure row items maintain distinct spacing separations to avoid tracking confusion." + Poka-Yoke: "The component compiler throws layout warnings if an asset's interactive region drops below required touch target dimensions."</t>
        </is>
      </c>
      <c r="G99" s="6" t="inlineStr">
        <is>
          <t>Three flush-packed buttons still keep at least 8dp between their visible glyphs, from their own padding</t>
        </is>
      </c>
      <c r="H99" s="6" t="inlineStr">
        <is>
          <t>Unit / logic</t>
        </is>
      </c>
      <c r="I99" s="6" t="inlineStr">
        <is>
          <t>Active</t>
        </is>
      </c>
      <c r="J99" s="6" t="inlineStr">
        <is>
          <t>No - needs flutter test</t>
        </is>
      </c>
      <c r="K99" s="7" t="inlineStr"/>
    </row>
    <row r="100" ht="58" customHeight="1">
      <c r="A100" s="5" t="n">
        <v>99</v>
      </c>
      <c r="B100" s="5" t="n">
        <v>14</v>
      </c>
      <c r="C100" s="5" t="inlineStr">
        <is>
          <t>TTMAC-014</t>
        </is>
      </c>
      <c r="D100" s="5" t="inlineStr">
        <is>
          <t>TTMAC-014-A01</t>
        </is>
      </c>
      <c r="E100" s="5" t="inlineStr">
        <is>
          <t>TTMAC-014-G6</t>
        </is>
      </c>
      <c r="F100" s="5" t="inlineStr">
        <is>
          <t>4 Substeps #4: "Test alignment grids against different device screen scale definitions."</t>
        </is>
      </c>
      <c r="G100" s="5" t="inlineStr">
        <is>
          <t>A 48dp target survives rasterisation at every device pixel ratio in the approved matrix, including the fractional 2.75</t>
        </is>
      </c>
      <c r="H100" s="5" t="inlineStr">
        <is>
          <t>Unit / logic</t>
        </is>
      </c>
      <c r="I100" s="5" t="inlineStr">
        <is>
          <t>Active</t>
        </is>
      </c>
      <c r="J100" s="5" t="inlineStr">
        <is>
          <t>Yes - value computed</t>
        </is>
      </c>
      <c r="K100" s="7" t="inlineStr"/>
    </row>
    <row r="101" ht="58" customHeight="1">
      <c r="A101" s="6" t="n">
        <v>100</v>
      </c>
      <c r="B101" s="6" t="n">
        <v>14</v>
      </c>
      <c r="C101" s="6" t="inlineStr">
        <is>
          <t>TTMAC-014</t>
        </is>
      </c>
      <c r="D101" s="6" t="inlineStr">
        <is>
          <t>TTMAC-014-A01</t>
        </is>
      </c>
      <c r="E101" s="6" t="inlineStr">
        <is>
          <t>TTMAC-014-G7</t>
        </is>
      </c>
      <c r="F101" s="6" t="inlineStr">
        <is>
          <t>Completion Measures: "Average frequency of double tap corrections on closely packed selections (&lt;1%)." + Self-Chasing: "Telemetry tracking logs touch patterns."</t>
        </is>
      </c>
      <c r="G101" s="6" t="inlineStr">
        <is>
          <t>The correction rate is computed from recorded taps by the UFHT-032 engine and reads below the 1% ceiling in a deterministic replay; the geometric precondition is gated by G5</t>
        </is>
      </c>
      <c r="H101" s="6" t="inlineStr">
        <is>
          <t>Widget / measured</t>
        </is>
      </c>
      <c r="I101" s="6" t="inlineStr">
        <is>
          <t>Active</t>
        </is>
      </c>
      <c r="J101" s="6" t="inlineStr">
        <is>
          <t>No - needs flutter test</t>
        </is>
      </c>
      <c r="K101" s="7" t="inlineStr"/>
    </row>
    <row r="102" ht="58" customHeight="1">
      <c r="A102" s="5" t="n">
        <v>101</v>
      </c>
      <c r="B102" s="5" t="n">
        <v>15</v>
      </c>
      <c r="C102" s="5" t="inlineStr">
        <is>
          <t>CSIVW-001</t>
        </is>
      </c>
      <c r="D102" s="5" t="inlineStr">
        <is>
          <t>CSIVW-001-A01</t>
        </is>
      </c>
      <c r="E102" s="5" t="inlineStr">
        <is>
          <t>CSIVW-001-G1</t>
        </is>
      </c>
      <c r="F102" s="5" t="inlineStr">
        <is>
          <t>4 Substeps #1: "Embed an alphanumeric keystroke filter inside the core text area component."</t>
        </is>
      </c>
      <c r="G102" s="5" t="inlineStr">
        <is>
          <t>The alphanumeric mask admits letters, digits and space, and rejects everything else</t>
        </is>
      </c>
      <c r="H102" s="5" t="inlineStr">
        <is>
          <t>Unit / logic</t>
        </is>
      </c>
      <c r="I102" s="5" t="inlineStr">
        <is>
          <t>Active</t>
        </is>
      </c>
      <c r="J102" s="5" t="inlineStr">
        <is>
          <t>Yes - value computed</t>
        </is>
      </c>
      <c r="K102" s="7" t="inlineStr"/>
    </row>
    <row r="103" ht="58" customHeight="1">
      <c r="A103" s="6" t="n">
        <v>102</v>
      </c>
      <c r="B103" s="6" t="n">
        <v>15</v>
      </c>
      <c r="C103" s="6" t="inlineStr">
        <is>
          <t>CSIVW-001</t>
        </is>
      </c>
      <c r="D103" s="6" t="inlineStr">
        <is>
          <t>CSIVW-001-A01</t>
        </is>
      </c>
      <c r="E103" s="6" t="inlineStr">
        <is>
          <t>CSIVW-001-G2</t>
        </is>
      </c>
      <c r="F103" s="6" t="inlineStr">
        <is>
          <t>4 Substeps #2: "Configure strict regular expression rules to block unauthorized character sets."</t>
        </is>
      </c>
      <c r="G103" s="6" t="inlineStr">
        <is>
          <t>Every mask kind has a pattern, and the numeric masks genuinely exclude letters</t>
        </is>
      </c>
      <c r="H103" s="6" t="inlineStr">
        <is>
          <t>Unit / logic</t>
        </is>
      </c>
      <c r="I103" s="6" t="inlineStr">
        <is>
          <t>Active</t>
        </is>
      </c>
      <c r="J103" s="6" t="inlineStr">
        <is>
          <t>Yes - value computed</t>
        </is>
      </c>
      <c r="K103" s="7" t="inlineStr"/>
    </row>
    <row r="104" ht="58" customHeight="1">
      <c r="A104" s="5" t="n">
        <v>103</v>
      </c>
      <c r="B104" s="5" t="n">
        <v>15</v>
      </c>
      <c r="C104" s="5" t="inlineStr">
        <is>
          <t>CSIVW-001</t>
        </is>
      </c>
      <c r="D104" s="5" t="inlineStr">
        <is>
          <t>CSIVW-001-A01</t>
        </is>
      </c>
      <c r="E104" s="5" t="inlineStr">
        <is>
          <t>CSIVW-001-G3</t>
        </is>
      </c>
      <c r="F104" s="5" t="inlineStr">
        <is>
          <t>4 Substeps #3: "Physically reject text pasted from clipboard arrays that exceeds defined field memory caps."</t>
        </is>
      </c>
      <c r="G104" s="5" t="inlineStr">
        <is>
          <t>An over-cap paste is rejected outright, leaving the old value untouched -- not silently truncated</t>
        </is>
      </c>
      <c r="H104" s="5" t="inlineStr">
        <is>
          <t>Unit / logic</t>
        </is>
      </c>
      <c r="I104" s="5" t="inlineStr">
        <is>
          <t>Active</t>
        </is>
      </c>
      <c r="J104" s="5" t="inlineStr">
        <is>
          <t>Yes - value computed</t>
        </is>
      </c>
      <c r="K104" s="7" t="inlineStr"/>
    </row>
    <row r="105" ht="58" customHeight="1">
      <c r="A105" s="6" t="n">
        <v>104</v>
      </c>
      <c r="B105" s="6" t="n">
        <v>15</v>
      </c>
      <c r="C105" s="6" t="inlineStr">
        <is>
          <t>CSIVW-001</t>
        </is>
      </c>
      <c r="D105" s="6" t="inlineStr">
        <is>
          <t>CSIVW-001-A01</t>
        </is>
      </c>
      <c r="E105" s="6" t="inlineStr">
        <is>
          <t>CSIVW-001-G4</t>
        </is>
      </c>
      <c r="F105" s="6" t="inlineStr">
        <is>
          <t>Poka-Yoke: "The text area physically drops any pasted input that contains non-ASCII formatting profiles."</t>
        </is>
      </c>
      <c r="G105" s="6" t="inlineStr">
        <is>
          <t>Non-ASCII is dropped, and the characters that carry meaning are transliterated rather than deleted</t>
        </is>
      </c>
      <c r="H105" s="6" t="inlineStr">
        <is>
          <t>Unit / logic</t>
        </is>
      </c>
      <c r="I105" s="6" t="inlineStr">
        <is>
          <t>Active</t>
        </is>
      </c>
      <c r="J105" s="6" t="inlineStr">
        <is>
          <t>Yes - value computed</t>
        </is>
      </c>
      <c r="K105" s="7" t="inlineStr"/>
    </row>
    <row r="106" ht="58" customHeight="1">
      <c r="A106" s="5" t="n">
        <v>105</v>
      </c>
      <c r="B106" s="5" t="n">
        <v>15</v>
      </c>
      <c r="C106" s="5" t="inlineStr">
        <is>
          <t>CSIVW-001</t>
        </is>
      </c>
      <c r="D106" s="5" t="inlineStr">
        <is>
          <t>CSIVW-001-A01</t>
        </is>
      </c>
      <c r="E106" s="5" t="inlineStr">
        <is>
          <t>CSIVW-001-G5</t>
        </is>
      </c>
      <c r="F106" s="5" t="inlineStr">
        <is>
          <t>IS12-CSIVW-011 Poka-Yoke: "Strip out trailing white spaces and weird symbols automatically from clipboard text when values are pasted."</t>
        </is>
      </c>
      <c r="G106" s="5" t="inlineStr">
        <is>
          <t>A paste is trimmed on the right, but ordinary typing of a trailing space is left alone</t>
        </is>
      </c>
      <c r="H106" s="5" t="inlineStr">
        <is>
          <t>Unit / logic</t>
        </is>
      </c>
      <c r="I106" s="5" t="inlineStr">
        <is>
          <t>Active</t>
        </is>
      </c>
      <c r="J106" s="5" t="inlineStr">
        <is>
          <t>Yes - value computed</t>
        </is>
      </c>
      <c r="K106" s="7" t="inlineStr"/>
    </row>
    <row r="107" ht="58" customHeight="1">
      <c r="A107" s="6" t="n">
        <v>106</v>
      </c>
      <c r="B107" s="6" t="n">
        <v>15</v>
      </c>
      <c r="C107" s="6" t="inlineStr">
        <is>
          <t>CSIVW-001</t>
        </is>
      </c>
      <c r="D107" s="6" t="inlineStr">
        <is>
          <t>CSIVW-001-A01</t>
        </is>
      </c>
      <c r="E107" s="6" t="inlineStr">
        <is>
          <t>CSIVW-001-G6</t>
        </is>
      </c>
      <c r="F107" s="6" t="inlineStr">
        <is>
          <t>Setup Step Description: "Audit all template text area entry portals across the application to create a complete inventory." + Metric: Scope Coverage / Audit Completeness.</t>
        </is>
      </c>
      <c r="G107" s="6" t="inlineStr">
        <is>
          <t>Every CDE in the inventory resolves to a rule, and every rule carries a mask, a pattern, a keyboard type and a plain-language message</t>
        </is>
      </c>
      <c r="H107" s="6" t="inlineStr">
        <is>
          <t>Unit / logic</t>
        </is>
      </c>
      <c r="I107" s="6" t="inlineStr">
        <is>
          <t>Active</t>
        </is>
      </c>
      <c r="J107" s="6" t="inlineStr">
        <is>
          <t>Yes - value computed</t>
        </is>
      </c>
      <c r="K107" s="7" t="inlineStr"/>
    </row>
    <row r="108" ht="58" customHeight="1">
      <c r="A108" s="5" t="n">
        <v>107</v>
      </c>
      <c r="B108" s="5" t="n">
        <v>15</v>
      </c>
      <c r="C108" s="5" t="inlineStr">
        <is>
          <t>CSIVW-001</t>
        </is>
      </c>
      <c r="D108" s="5" t="inlineStr">
        <is>
          <t>CSIVW-001-A01</t>
        </is>
      </c>
      <c r="E108" s="5" t="inlineStr">
        <is>
          <t>CSIVW-001-G7</t>
        </is>
      </c>
      <c r="F108" s="5" t="inlineStr">
        <is>
          <t>Completion Measures: "Zero recorded layout overflows or broken text strings across standard testing devices." + Atomic Reusability: "StandardTextInputMask element."</t>
        </is>
      </c>
      <c r="G108" s="5" t="inlineStr">
        <is>
          <t>A disallowed character never reaches application state -- it is filtered before the controller, not flagged afterwards</t>
        </is>
      </c>
      <c r="H108" s="5" t="inlineStr">
        <is>
          <t>Widget / measured</t>
        </is>
      </c>
      <c r="I108" s="5" t="inlineStr">
        <is>
          <t>Active</t>
        </is>
      </c>
      <c r="J108" s="5" t="inlineStr">
        <is>
          <t>No - needs flutter test</t>
        </is>
      </c>
      <c r="K108" s="7" t="inlineStr"/>
    </row>
    <row r="109" ht="58" customHeight="1">
      <c r="A109" s="6" t="n">
        <v>108</v>
      </c>
      <c r="B109" s="6" t="n">
        <v>16</v>
      </c>
      <c r="C109" s="6" t="inlineStr">
        <is>
          <t>IS12-CSIVW-011-AS01</t>
        </is>
      </c>
      <c r="D109" s="6" t="inlineStr">
        <is>
          <t>IS12-CSIVW-011-AS01-A01</t>
        </is>
      </c>
      <c r="E109" s="6" t="inlineStr">
        <is>
          <t>IS12-CSIVW-011-G1</t>
        </is>
      </c>
      <c r="F109" s="6" t="inlineStr">
        <is>
          <t>4 Substeps #2: "Restrict non-numeric keystrokes from mounting inside cost or dimension inputs."</t>
        </is>
      </c>
      <c r="G109" s="6" t="inlineStr">
        <is>
          <t>Cost and quantity rules use numeric keyboards and reject letters at the pattern level too</t>
        </is>
      </c>
      <c r="H109" s="6" t="inlineStr">
        <is>
          <t>Unit / logic</t>
        </is>
      </c>
      <c r="I109" s="6" t="inlineStr">
        <is>
          <t>Active</t>
        </is>
      </c>
      <c r="J109" s="6" t="inlineStr">
        <is>
          <t>Yes - value computed</t>
        </is>
      </c>
      <c r="K109" s="7" t="inlineStr"/>
    </row>
    <row r="110" ht="58" customHeight="1">
      <c r="A110" s="5" t="n">
        <v>109</v>
      </c>
      <c r="B110" s="5" t="n">
        <v>16</v>
      </c>
      <c r="C110" s="5" t="inlineStr">
        <is>
          <t>IS12-CSIVW-011-AS01</t>
        </is>
      </c>
      <c r="D110" s="5" t="inlineStr">
        <is>
          <t>IS12-CSIVW-011-AS01-A01</t>
        </is>
      </c>
      <c r="E110" s="5" t="inlineStr">
        <is>
          <t>IS12-CSIVW-011-G2</t>
        </is>
      </c>
      <c r="F110" s="5" t="inlineStr">
        <is>
          <t>4 Substeps #1: "Apply real-time input formatting layers to asset data form boxes."</t>
        </is>
      </c>
      <c r="G110" s="5" t="inlineStr">
        <is>
          <t>Every CDE rule carries a formatter stack, so formatting is applied as the user types rather than on submit</t>
        </is>
      </c>
      <c r="H110" s="5" t="inlineStr">
        <is>
          <t>Unit / logic</t>
        </is>
      </c>
      <c r="I110" s="5" t="inlineStr">
        <is>
          <t>Active</t>
        </is>
      </c>
      <c r="J110" s="5" t="inlineStr">
        <is>
          <t>No - needs flutter test</t>
        </is>
      </c>
      <c r="K110" s="7" t="inlineStr"/>
    </row>
    <row r="111" ht="58" customHeight="1">
      <c r="A111" s="6" t="n">
        <v>110</v>
      </c>
      <c r="B111" s="6" t="n">
        <v>16</v>
      </c>
      <c r="C111" s="6" t="inlineStr">
        <is>
          <t>IS12-CSIVW-011-AS01</t>
        </is>
      </c>
      <c r="D111" s="6" t="inlineStr">
        <is>
          <t>IS12-CSIVW-011-AS01-A01</t>
        </is>
      </c>
      <c r="E111" s="6" t="inlineStr">
        <is>
          <t>IS12-CSIVW-011-G3</t>
        </is>
      </c>
      <c r="F111" s="6" t="inlineStr">
        <is>
          <t>What Standardized Must Be Done: "Display all text field validation messages using accessible text strings, never relying on color changes alone." (also WCAG 2.1 SC 1.4.1)</t>
        </is>
      </c>
      <c r="G111" s="6" t="inlineStr">
        <is>
          <t>Every failure produces a non-empty text message; no rule signals an error by colour alone</t>
        </is>
      </c>
      <c r="H111" s="6" t="inlineStr">
        <is>
          <t>WCAG contrast</t>
        </is>
      </c>
      <c r="I111" s="6" t="inlineStr">
        <is>
          <t>Active</t>
        </is>
      </c>
      <c r="J111" s="6" t="inlineStr">
        <is>
          <t>Yes - value computed</t>
        </is>
      </c>
      <c r="K111" s="7" t="inlineStr"/>
    </row>
    <row r="112" ht="58" customHeight="1">
      <c r="A112" s="5" t="n">
        <v>111</v>
      </c>
      <c r="B112" s="5" t="n">
        <v>16</v>
      </c>
      <c r="C112" s="5" t="inlineStr">
        <is>
          <t>IS12-CSIVW-011-AS01</t>
        </is>
      </c>
      <c r="D112" s="5" t="inlineStr">
        <is>
          <t>IS12-CSIVW-011-AS01-A01</t>
        </is>
      </c>
      <c r="E112" s="5" t="inlineStr">
        <is>
          <t>IS12-CSIVW-011-G4</t>
        </is>
      </c>
      <c r="F112" s="5" t="inlineStr">
        <is>
          <t>4 Substeps #4: "Unlock or freeze form confirmation keys based on field validation status."</t>
        </is>
      </c>
      <c r="G112" s="5" t="inlineStr">
        <is>
          <t>The gate refuses submission while any registered field is invalid, and unlocks the moment every field passes</t>
        </is>
      </c>
      <c r="H112" s="5" t="inlineStr">
        <is>
          <t>Unit / logic</t>
        </is>
      </c>
      <c r="I112" s="5" t="inlineStr">
        <is>
          <t>Active</t>
        </is>
      </c>
      <c r="J112" s="5" t="inlineStr">
        <is>
          <t>Yes - value computed</t>
        </is>
      </c>
      <c r="K112" s="7" t="inlineStr"/>
    </row>
    <row r="113" ht="58" customHeight="1">
      <c r="A113" s="6" t="n">
        <v>112</v>
      </c>
      <c r="B113" s="6" t="n">
        <v>16</v>
      </c>
      <c r="C113" s="6" t="inlineStr">
        <is>
          <t>IS12-CSIVW-011-AS01</t>
        </is>
      </c>
      <c r="D113" s="6" t="inlineStr">
        <is>
          <t>IS12-CSIVW-011-AS01-A01</t>
        </is>
      </c>
      <c r="E113" s="6" t="inlineStr">
        <is>
          <t>IS12-CSIVW-011-G5</t>
        </is>
      </c>
      <c r="F113" s="6" t="inlineStr">
        <is>
          <t>Self-Chasing: "Fields recheck validation criteria the second an error is edited, clearing warnings quickly once values pass rules."</t>
        </is>
      </c>
      <c r="G113" s="6" t="inlineStr">
        <is>
          <t>An error is only shown once the field has been touched, and clears as soon as the value passes</t>
        </is>
      </c>
      <c r="H113" s="6" t="inlineStr">
        <is>
          <t>Unit / logic</t>
        </is>
      </c>
      <c r="I113" s="6" t="inlineStr">
        <is>
          <t>Active</t>
        </is>
      </c>
      <c r="J113" s="6" t="inlineStr">
        <is>
          <t>Yes - value computed</t>
        </is>
      </c>
      <c r="K113" s="7" t="inlineStr"/>
    </row>
    <row r="114" ht="58" customHeight="1">
      <c r="A114" s="5" t="n">
        <v>113</v>
      </c>
      <c r="B114" s="5" t="n">
        <v>16</v>
      </c>
      <c r="C114" s="5" t="inlineStr">
        <is>
          <t>IS12-CSIVW-011-AS01</t>
        </is>
      </c>
      <c r="D114" s="5" t="inlineStr">
        <is>
          <t>IS12-CSIVW-011-AS01-A01</t>
        </is>
      </c>
      <c r="E114" s="5" t="inlineStr">
        <is>
          <t>IS12-CSIVW-011-G6</t>
        </is>
      </c>
      <c r="F114" s="5" t="inlineStr">
        <is>
          <t>Metric: Asset &amp; Component Discovery Completeness -- "Text entry box wrapper component shared". Floor 90% of target assets confirmed present, Optimal 100%.</t>
        </is>
      </c>
      <c r="G114" s="5" t="inlineStr">
        <is>
          <t>The shared wrapper exists and covers 100% of declared CDEs</t>
        </is>
      </c>
      <c r="H114" s="5" t="inlineStr">
        <is>
          <t>Unit / logic</t>
        </is>
      </c>
      <c r="I114" s="5" t="inlineStr">
        <is>
          <t>Active</t>
        </is>
      </c>
      <c r="J114" s="5" t="inlineStr">
        <is>
          <t>Yes - value computed</t>
        </is>
      </c>
      <c r="K114" s="7" t="inlineStr"/>
    </row>
    <row r="115" ht="58" customHeight="1">
      <c r="A115" s="6" t="n">
        <v>114</v>
      </c>
      <c r="B115" s="6" t="n">
        <v>16</v>
      </c>
      <c r="C115" s="6" t="inlineStr">
        <is>
          <t>IS12-CSIVW-011-AS01</t>
        </is>
      </c>
      <c r="D115" s="6" t="inlineStr">
        <is>
          <t>IS12-CSIVW-011-AS01-A01</t>
        </is>
      </c>
      <c r="E115" s="6" t="inlineStr">
        <is>
          <t>IS12-CSIVW-011-G7</t>
        </is>
      </c>
      <c r="F115" s="6" t="inlineStr">
        <is>
          <t>Mobile-First UI Decision: "Add quick-clear X icons inside mobile text boxes to wipe out inputs in one tap." + UI Decision: "Display standard clear helper text blocks directly beneath form rows."</t>
        </is>
      </c>
      <c r="G115" s="6" t="inlineStr">
        <is>
          <t>Helper text renders under the field, and a single tap on the labelled clear control empties it</t>
        </is>
      </c>
      <c r="H115" s="6" t="inlineStr">
        <is>
          <t>Widget / measured</t>
        </is>
      </c>
      <c r="I115" s="6" t="inlineStr">
        <is>
          <t>Active</t>
        </is>
      </c>
      <c r="J115" s="6" t="inlineStr">
        <is>
          <t>No - needs flutter test</t>
        </is>
      </c>
      <c r="K115" s="7" t="inlineStr"/>
    </row>
    <row r="116" ht="58" customHeight="1">
      <c r="A116" s="5" t="n">
        <v>115</v>
      </c>
      <c r="B116" s="5" t="n">
        <v>17</v>
      </c>
      <c r="C116" s="5" t="inlineStr">
        <is>
          <t>IS02-CSIVW-005-AS01</t>
        </is>
      </c>
      <c r="D116" s="5" t="inlineStr">
        <is>
          <t>IS02-CSIVW-005-AS01-A01</t>
        </is>
      </c>
      <c r="E116" s="5" t="inlineStr">
        <is>
          <t>IS02-CSIVW-005-G1</t>
        </is>
      </c>
      <c r="F116" s="5" t="inlineStr">
        <is>
          <t>4 Substeps #1: "Bind custom inline error components to the blur events of core entry inputs." + Completion Measures: "faulty inputs trigger immediate under-field red messages."</t>
        </is>
      </c>
      <c r="G116" s="5" t="inlineStr">
        <is>
          <t>Error appears only after blur, renders below the field, and clears as soon as the value passes</t>
        </is>
      </c>
      <c r="H116" s="5" t="inlineStr">
        <is>
          <t>Widget / measured</t>
        </is>
      </c>
      <c r="I116" s="5" t="inlineStr">
        <is>
          <t>Active</t>
        </is>
      </c>
      <c r="J116" s="5" t="inlineStr">
        <is>
          <t>No - needs flutter test</t>
        </is>
      </c>
      <c r="K116" s="7" t="inlineStr"/>
    </row>
    <row r="117" ht="58" customHeight="1">
      <c r="A117" s="6" t="n">
        <v>116</v>
      </c>
      <c r="B117" s="6" t="n">
        <v>17</v>
      </c>
      <c r="C117" s="6" t="inlineStr">
        <is>
          <t>IS02-CSIVW-005-AS01</t>
        </is>
      </c>
      <c r="D117" s="6" t="inlineStr">
        <is>
          <t>IS02-CSIVW-005-AS01-A01</t>
        </is>
      </c>
      <c r="E117" s="6" t="inlineStr">
        <is>
          <t>IS02-CSIVW-005-G2</t>
        </is>
      </c>
      <c r="F117" s="6" t="inlineStr">
        <is>
          <t>Decision to be Made Before Setup Step: "Select the precise text size parameters required for inline descriptive error messages."</t>
        </is>
      </c>
      <c r="G117" s="6" t="inlineStr">
        <is>
          <t>The decision is recorded as bodySmall (12sp on a 16sp line) and comes from the existing type scale rather than a new value</t>
        </is>
      </c>
      <c r="H117" s="6" t="inlineStr">
        <is>
          <t>Unit / logic</t>
        </is>
      </c>
      <c r="I117" s="6" t="inlineStr">
        <is>
          <t>Active</t>
        </is>
      </c>
      <c r="J117" s="6" t="inlineStr">
        <is>
          <t>Yes - value computed</t>
        </is>
      </c>
      <c r="K117" s="7" t="inlineStr"/>
    </row>
    <row r="118" ht="58" customHeight="1">
      <c r="A118" s="5" t="n">
        <v>117</v>
      </c>
      <c r="B118" s="5" t="n">
        <v>17</v>
      </c>
      <c r="C118" s="5" t="inlineStr">
        <is>
          <t>IS02-CSIVW-005-AS01</t>
        </is>
      </c>
      <c r="D118" s="5" t="inlineStr">
        <is>
          <t>IS02-CSIVW-005-AS01-A01</t>
        </is>
      </c>
      <c r="E118" s="5" t="inlineStr">
        <is>
          <t>IS02-CSIVW-005-G3</t>
        </is>
      </c>
      <c r="F118" s="5" t="inlineStr">
        <is>
          <t>4 Substeps #2: "Lock message text strings to display in high-contrast red parameters."</t>
        </is>
      </c>
      <c r="G118" s="5" t="inlineStr">
        <is>
          <t>The error colour is the audited scheme error token, and it clears the 4.5:1 floor against the surfaces it is drawn on, in both schemes</t>
        </is>
      </c>
      <c r="H118" s="5" t="inlineStr">
        <is>
          <t>WCAG contrast</t>
        </is>
      </c>
      <c r="I118" s="5" t="inlineStr">
        <is>
          <t>Active</t>
        </is>
      </c>
      <c r="J118" s="5" t="inlineStr">
        <is>
          <t>Yes - value computed</t>
        </is>
      </c>
      <c r="K118" s="7" t="inlineStr"/>
    </row>
    <row r="119" ht="58" customHeight="1">
      <c r="A119" s="6" t="n">
        <v>118</v>
      </c>
      <c r="B119" s="6" t="n">
        <v>17</v>
      </c>
      <c r="C119" s="6" t="inlineStr">
        <is>
          <t>IS02-CSIVW-005-AS01</t>
        </is>
      </c>
      <c r="D119" s="6" t="inlineStr">
        <is>
          <t>IS02-CSIVW-005-AS01-A01</t>
        </is>
      </c>
      <c r="E119" s="6" t="inlineStr">
        <is>
          <t>IS02-CSIVW-005-G4</t>
        </is>
      </c>
      <c r="F119" s="6" t="inlineStr">
        <is>
          <t>4 Substeps #3: "Program form frameworks to freeze submission actions if active errors are present." + Poka-Yoke: "Form submission actions remain physically locked until all active field errors are resolved."</t>
        </is>
      </c>
      <c r="G119" s="6" t="inlineStr">
        <is>
          <t>A single outstanding error locks submission regardless of how many other fields pass</t>
        </is>
      </c>
      <c r="H119" s="6" t="inlineStr">
        <is>
          <t>Unit / logic</t>
        </is>
      </c>
      <c r="I119" s="6" t="inlineStr">
        <is>
          <t>Active</t>
        </is>
      </c>
      <c r="J119" s="6" t="inlineStr">
        <is>
          <t>Yes - value computed</t>
        </is>
      </c>
      <c r="K119" s="7" t="inlineStr"/>
    </row>
    <row r="120" ht="58" customHeight="1">
      <c r="A120" s="5" t="n">
        <v>119</v>
      </c>
      <c r="B120" s="5" t="n">
        <v>17</v>
      </c>
      <c r="C120" s="5" t="inlineStr">
        <is>
          <t>IS02-CSIVW-005-AS01</t>
        </is>
      </c>
      <c r="D120" s="5" t="inlineStr">
        <is>
          <t>IS02-CSIVW-005-AS01-A01</t>
        </is>
      </c>
      <c r="E120" s="5" t="inlineStr">
        <is>
          <t>IS02-CSIVW-005-G5</t>
        </is>
      </c>
      <c r="F120" s="5" t="inlineStr">
        <is>
          <t>4 Substeps #4: "Run automated user boundary input tests to confirm clear error block display."</t>
        </is>
      </c>
      <c r="G120" s="5" t="inlineStr">
        <is>
          <t>Amount, percentage and time rules accept their exact boundaries and reject one step outside, in both directions</t>
        </is>
      </c>
      <c r="H120" s="5" t="inlineStr">
        <is>
          <t>Unit / logic</t>
        </is>
      </c>
      <c r="I120" s="5" t="inlineStr">
        <is>
          <t>Active</t>
        </is>
      </c>
      <c r="J120" s="5" t="inlineStr">
        <is>
          <t>No - needs flutter test</t>
        </is>
      </c>
      <c r="K120" s="7" t="inlineStr"/>
    </row>
    <row r="121" ht="58" customHeight="1">
      <c r="A121" s="6" t="n">
        <v>120</v>
      </c>
      <c r="B121" s="6" t="n">
        <v>17</v>
      </c>
      <c r="C121" s="6" t="inlineStr">
        <is>
          <t>IS02-CSIVW-005-AS01</t>
        </is>
      </c>
      <c r="D121" s="6" t="inlineStr">
        <is>
          <t>IS02-CSIVW-005-AS01-A01</t>
        </is>
      </c>
      <c r="E121" s="6" t="inlineStr">
        <is>
          <t>IS02-CSIVW-005-G6</t>
        </is>
      </c>
      <c r="F121" s="6" t="inlineStr">
        <is>
          <t>What Standardized Must Be Done: "All error text placement rules must adhere strictly to central UI rules."</t>
        </is>
      </c>
      <c r="G121" s="6" t="inlineStr">
        <is>
          <t>revealAllErrors surfaces every outstanding error at once rather than one per submit attempt</t>
        </is>
      </c>
      <c r="H121" s="6" t="inlineStr">
        <is>
          <t>Unit / logic</t>
        </is>
      </c>
      <c r="I121" s="6" t="inlineStr">
        <is>
          <t>Active</t>
        </is>
      </c>
      <c r="J121" s="6" t="inlineStr">
        <is>
          <t>Yes - value computed</t>
        </is>
      </c>
      <c r="K121" s="7" t="inlineStr"/>
    </row>
    <row r="122" ht="58" customHeight="1">
      <c r="A122" s="5" t="n">
        <v>121</v>
      </c>
      <c r="B122" s="5" t="n">
        <v>18</v>
      </c>
      <c r="C122" s="5" t="inlineStr">
        <is>
          <t>BPTR-0160</t>
        </is>
      </c>
      <c r="D122" s="5" t="inlineStr">
        <is>
          <t>BPTR-0160-A01</t>
        </is>
      </c>
      <c r="E122" s="5" t="inlineStr">
        <is>
          <t>BPTR-0160-G1</t>
        </is>
      </c>
      <c r="F122" s="5" t="inlineStr">
        <is>
          <t>What Standardized Must Be Done: "Global Regex mapping per CDE applied to mobile text fields." + Completion: `Invalid_Data_Type_Errors == 0`.</t>
        </is>
      </c>
      <c r="G122" s="5" t="inlineStr">
        <is>
          <t>Every CDE has a regex rule -- the completion measure is unreachable if even one data type is unmapped</t>
        </is>
      </c>
      <c r="H122" s="5" t="inlineStr">
        <is>
          <t>Widget / measured</t>
        </is>
      </c>
      <c r="I122" s="5" t="inlineStr">
        <is>
          <t>Active</t>
        </is>
      </c>
      <c r="J122" s="5" t="inlineStr">
        <is>
          <t>Yes - value computed</t>
        </is>
      </c>
      <c r="K122" s="7" t="inlineStr"/>
    </row>
    <row r="123" ht="58" customHeight="1">
      <c r="A123" s="6" t="n">
        <v>122</v>
      </c>
      <c r="B123" s="6" t="n">
        <v>18</v>
      </c>
      <c r="C123" s="6" t="inlineStr">
        <is>
          <t>BPTR-0160</t>
        </is>
      </c>
      <c r="D123" s="6" t="inlineStr">
        <is>
          <t>BPTR-0160-A01</t>
        </is>
      </c>
      <c r="E123" s="6" t="inlineStr">
        <is>
          <t>BPTR-0160-G2</t>
        </is>
      </c>
      <c r="F123" s="6" t="inlineStr">
        <is>
          <t>Setup Step Description: "Identify all compound entry fields (e.g., split address blocks, combined date-time fields) in mobile views." + Metric: Field/Element Identification Accuracy (Floor 95, Optimal 99).</t>
        </is>
      </c>
      <c r="G123" s="6" t="inlineStr">
        <is>
          <t>The compound-field inventory is declared as data, covers the examples the spec names, and every part resolves to a real CDE rule</t>
        </is>
      </c>
      <c r="H123" s="6" t="inlineStr">
        <is>
          <t>Unit / logic</t>
        </is>
      </c>
      <c r="I123" s="6" t="inlineStr">
        <is>
          <t>Active</t>
        </is>
      </c>
      <c r="J123" s="6" t="inlineStr">
        <is>
          <t>Yes - value computed</t>
        </is>
      </c>
      <c r="K123" s="7" t="inlineStr"/>
    </row>
    <row r="124" ht="58" customHeight="1">
      <c r="A124" s="5" t="n">
        <v>123</v>
      </c>
      <c r="B124" s="5" t="n">
        <v>18</v>
      </c>
      <c r="C124" s="5" t="inlineStr">
        <is>
          <t>BPTR-0160</t>
        </is>
      </c>
      <c r="D124" s="5" t="inlineStr">
        <is>
          <t>BPTR-0160-A01</t>
        </is>
      </c>
      <c r="E124" s="5" t="inlineStr">
        <is>
          <t>BPTR-0160-G3</t>
        </is>
      </c>
      <c r="F124" s="5" t="inlineStr">
        <is>
          <t>Mobile-First UX Implementation: `inputmode="numeric"` -- "Contextual keyboard triggering for faster thumb typing."</t>
        </is>
      </c>
      <c r="G124" s="5" t="inlineStr">
        <is>
          <t>Numeric CDEs request a numeric keyboard; text CDEs do not</t>
        </is>
      </c>
      <c r="H124" s="5" t="inlineStr">
        <is>
          <t>Unit / logic</t>
        </is>
      </c>
      <c r="I124" s="5" t="inlineStr">
        <is>
          <t>Active</t>
        </is>
      </c>
      <c r="J124" s="5" t="inlineStr">
        <is>
          <t>Yes - value computed</t>
        </is>
      </c>
      <c r="K124" s="7" t="inlineStr"/>
    </row>
    <row r="125" ht="58" customHeight="1">
      <c r="A125" s="6" t="n">
        <v>124</v>
      </c>
      <c r="B125" s="6" t="n">
        <v>18</v>
      </c>
      <c r="C125" s="6" t="inlineStr">
        <is>
          <t>BPTR-0160</t>
        </is>
      </c>
      <c r="D125" s="6" t="inlineStr">
        <is>
          <t>BPTR-0160-A01</t>
        </is>
      </c>
      <c r="E125" s="6" t="inlineStr">
        <is>
          <t>BPTR-0160-G4</t>
        </is>
      </c>
      <c r="F125" s="6" t="inlineStr">
        <is>
          <t>Mobile-First UI Decision: "Visual input masks (e.g., MM/DD/YYYY placeholders) inside the text field."</t>
        </is>
      </c>
      <c r="G125" s="6" t="inlineStr">
        <is>
          <t>Every CDE whose format is not self-evident carries a placeholder, and the date placeholders match their patterns</t>
        </is>
      </c>
      <c r="H125" s="6" t="inlineStr">
        <is>
          <t>Unit / logic</t>
        </is>
      </c>
      <c r="I125" s="6" t="inlineStr">
        <is>
          <t>Active</t>
        </is>
      </c>
      <c r="J125" s="6" t="inlineStr">
        <is>
          <t>Yes - value computed</t>
        </is>
      </c>
      <c r="K125" s="7" t="inlineStr"/>
    </row>
    <row r="126" ht="58" customHeight="1">
      <c r="A126" s="5" t="n">
        <v>125</v>
      </c>
      <c r="B126" s="5" t="n">
        <v>18</v>
      </c>
      <c r="C126" s="5" t="inlineStr">
        <is>
          <t>BPTR-0160</t>
        </is>
      </c>
      <c r="D126" s="5" t="inlineStr">
        <is>
          <t>BPTR-0160-A01</t>
        </is>
      </c>
      <c r="E126" s="5" t="inlineStr">
        <is>
          <t>BPTR-0160-G5</t>
        </is>
      </c>
      <c r="F126" s="5" t="inlineStr">
        <is>
          <t>Mobile-First UX Implementation: `autocomplete="off"`.</t>
        </is>
      </c>
      <c r="G126" s="5" t="inlineStr">
        <is>
          <t>Autocomplete is off by default across every rule</t>
        </is>
      </c>
      <c r="H126" s="5" t="inlineStr">
        <is>
          <t>Unit / logic</t>
        </is>
      </c>
      <c r="I126" s="5" t="inlineStr">
        <is>
          <t>Active</t>
        </is>
      </c>
      <c r="J126" s="5" t="inlineStr">
        <is>
          <t>Yes - value computed</t>
        </is>
      </c>
      <c r="K126" s="7" t="inlineStr"/>
    </row>
    <row r="127" ht="58" customHeight="1">
      <c r="A127" s="6" t="n">
        <v>126</v>
      </c>
      <c r="B127" s="6" t="n">
        <v>18</v>
      </c>
      <c r="C127" s="6" t="inlineStr">
        <is>
          <t>BPTR-0160</t>
        </is>
      </c>
      <c r="D127" s="6" t="inlineStr">
        <is>
          <t>BPTR-0160-A01</t>
        </is>
      </c>
      <c r="E127" s="6" t="inlineStr">
        <is>
          <t>BPTR-0160-G6</t>
        </is>
      </c>
      <c r="F127" s="6" t="inlineStr">
        <is>
          <t>Setup Step (Action): "isolate mobile compound fields into distinct, standalone UI components featuring strict 48x48dp touch targets."</t>
        </is>
      </c>
      <c r="G127" s="6" t="inlineStr">
        <is>
          <t>The date-time compound stacks on a 320dp viewport and each part renders at least 48dp tall</t>
        </is>
      </c>
      <c r="H127" s="6" t="inlineStr">
        <is>
          <t>Widget / measured</t>
        </is>
      </c>
      <c r="I127" s="6" t="inlineStr">
        <is>
          <t>Active</t>
        </is>
      </c>
      <c r="J127" s="6" t="inlineStr">
        <is>
          <t>No - needs flutter test</t>
        </is>
      </c>
      <c r="K127" s="7" t="inlineStr"/>
    </row>
    <row r="128" ht="58" customHeight="1">
      <c r="A128" s="5" t="n">
        <v>127</v>
      </c>
      <c r="B128" s="5" t="n">
        <v>18</v>
      </c>
      <c r="C128" s="5" t="inlineStr">
        <is>
          <t>BPTR-0160</t>
        </is>
      </c>
      <c r="D128" s="5" t="inlineStr">
        <is>
          <t>BPTR-0160-A01</t>
        </is>
      </c>
      <c r="E128" s="5" t="inlineStr">
        <is>
          <t>BPTR-0160-G7</t>
        </is>
      </c>
      <c r="F128" s="5" t="inlineStr">
        <is>
          <t>Self-Chasing: "User cannot tap the submit button while the field is invalid, forcing them to fix their own typo instantly to proceed."</t>
        </is>
      </c>
      <c r="G128" s="5" t="inlineStr">
        <is>
          <t>An address block with one bad part blocks the whole compound</t>
        </is>
      </c>
      <c r="H128" s="5" t="inlineStr">
        <is>
          <t>Widget / measured</t>
        </is>
      </c>
      <c r="I128" s="5" t="inlineStr">
        <is>
          <t>Active</t>
        </is>
      </c>
      <c r="J128" s="5" t="inlineStr">
        <is>
          <t>Yes - value computed</t>
        </is>
      </c>
      <c r="K128" s="7" t="inlineStr"/>
    </row>
    <row r="129" ht="58" customHeight="1">
      <c r="A129" s="6" t="n">
        <v>128</v>
      </c>
      <c r="B129" s="6" t="n">
        <v>19</v>
      </c>
      <c r="C129" s="6" t="inlineStr">
        <is>
          <t>REF-197</t>
        </is>
      </c>
      <c r="D129" s="6" t="inlineStr">
        <is>
          <t>REF-197-A01</t>
        </is>
      </c>
      <c r="E129" s="6" t="inlineStr">
        <is>
          <t>REF-197-G1</t>
        </is>
      </c>
      <c r="F129" s="6" t="inlineStr">
        <is>
          <t>Setup Step Description AND Decision Before Setup Step (the sheet lists both): "Define standardized user-facing error text templates for common system validation rejections." + Metric: Template Definition = Complete (no partial credit).</t>
        </is>
      </c>
      <c r="G129" s="6" t="inlineStr">
        <is>
          <t>Every failure category has a template, each with a title, a body and a retry label -- an unmapped failure is impossible</t>
        </is>
      </c>
      <c r="H129" s="6" t="inlineStr">
        <is>
          <t>Unit / logic</t>
        </is>
      </c>
      <c r="I129" s="6" t="inlineStr">
        <is>
          <t>Active</t>
        </is>
      </c>
      <c r="J129" s="6" t="inlineStr">
        <is>
          <t>Yes - value computed</t>
        </is>
      </c>
      <c r="K129" s="7" t="inlineStr"/>
    </row>
    <row r="130" ht="58" customHeight="1">
      <c r="A130" s="5" t="n">
        <v>129</v>
      </c>
      <c r="B130" s="5" t="n">
        <v>19</v>
      </c>
      <c r="C130" s="5" t="inlineStr">
        <is>
          <t>REF-197</t>
        </is>
      </c>
      <c r="D130" s="5" t="inlineStr">
        <is>
          <t>REF-197-A01</t>
        </is>
      </c>
      <c r="E130" s="5" t="inlineStr">
        <is>
          <t>REF-197-G2</t>
        </is>
      </c>
      <c r="F130" s="5" t="inlineStr">
        <is>
          <t>Mobile-First UX Decision: "Ensure error text displays do not use technical code terms, keeping descriptions simple and clear."</t>
        </is>
      </c>
      <c r="G130" s="5" t="inlineStr">
        <is>
          <t>No template contains any word from the forbidden-jargon list</t>
        </is>
      </c>
      <c r="H130" s="5" t="inlineStr">
        <is>
          <t>Unit / logic</t>
        </is>
      </c>
      <c r="I130" s="5" t="inlineStr">
        <is>
          <t>Active</t>
        </is>
      </c>
      <c r="J130" s="5" t="inlineStr">
        <is>
          <t>Yes - value computed</t>
        </is>
      </c>
      <c r="K130" s="7" t="inlineStr"/>
    </row>
    <row r="131" ht="58" customHeight="1">
      <c r="A131" s="6" t="n">
        <v>130</v>
      </c>
      <c r="B131" s="6" t="n">
        <v>19</v>
      </c>
      <c r="C131" s="6" t="inlineStr">
        <is>
          <t>REF-197</t>
        </is>
      </c>
      <c r="D131" s="6" t="inlineStr">
        <is>
          <t>REF-197-A01</t>
        </is>
      </c>
      <c r="E131" s="6" t="inlineStr">
        <is>
          <t>REF-197-G3</t>
        </is>
      </c>
      <c r="F131" s="6" t="inlineStr">
        <is>
          <t>4 Substeps #2: "Configure error log scrubbers to remove sensitive backend code path variables from user-facing logs." + Poka-Yoke: "Catch-all code structures strip out server-specific error language automatically before messages reach the UI layer."</t>
        </is>
      </c>
      <c r="G131" s="6" t="inlineStr">
        <is>
          <t>A realistic server trace is scrubbed of paths, URLs, IPs, tokens, stack frames, SQL and emails -- and the scrubber reports itself clean after</t>
        </is>
      </c>
      <c r="H131" s="6" t="inlineStr">
        <is>
          <t>Unit / logic</t>
        </is>
      </c>
      <c r="I131" s="6" t="inlineStr">
        <is>
          <t>Active</t>
        </is>
      </c>
      <c r="J131" s="6" t="inlineStr">
        <is>
          <t>Yes - value computed</t>
        </is>
      </c>
      <c r="K131" s="7" t="inlineStr"/>
    </row>
    <row r="132" ht="58" customHeight="1">
      <c r="A132" s="5" t="n">
        <v>131</v>
      </c>
      <c r="B132" s="5" t="n">
        <v>19</v>
      </c>
      <c r="C132" s="5" t="inlineStr">
        <is>
          <t>REF-197</t>
        </is>
      </c>
      <c r="D132" s="5" t="inlineStr">
        <is>
          <t>REF-197-A01</t>
        </is>
      </c>
      <c r="E132" s="5" t="inlineStr">
        <is>
          <t>REF-197-G4</t>
        </is>
      </c>
      <c r="F132" s="5" t="inlineStr">
        <is>
          <t>4 Substeps #3: "Wire up UI state controllers to fall back to generic, helpful confirmation notes when processing anomalies occur."</t>
        </is>
      </c>
      <c r="G132" s="5" t="inlineStr">
        <is>
          <t>Classification maps real failure shapes to the right template, and an unrecognised error still lands on a human sentence</t>
        </is>
      </c>
      <c r="H132" s="5" t="inlineStr">
        <is>
          <t>Unit / logic</t>
        </is>
      </c>
      <c r="I132" s="5" t="inlineStr">
        <is>
          <t>Active</t>
        </is>
      </c>
      <c r="J132" s="5" t="inlineStr">
        <is>
          <t>Yes - value computed</t>
        </is>
      </c>
      <c r="K132" s="7" t="inlineStr"/>
    </row>
    <row r="133" ht="58" customHeight="1">
      <c r="A133" s="6" t="n">
        <v>132</v>
      </c>
      <c r="B133" s="6" t="n">
        <v>19</v>
      </c>
      <c r="C133" s="6" t="inlineStr">
        <is>
          <t>REF-197</t>
        </is>
      </c>
      <c r="D133" s="6" t="inlineStr">
        <is>
          <t>REF-197-A01</t>
        </is>
      </c>
      <c r="E133" s="6" t="inlineStr">
        <is>
          <t>REF-197-G5</t>
        </is>
      </c>
      <c r="F133" s="6" t="inlineStr">
        <is>
          <t>Mobile-First UI Decision: "Include an explicit, easy-to-tap retry button within error notification areas."</t>
        </is>
      </c>
      <c r="G133" s="6" t="inlineStr">
        <is>
          <t>Every retryable category offers a retry label, and the categories where retrying cannot help do not pretend it will</t>
        </is>
      </c>
      <c r="H133" s="6" t="inlineStr">
        <is>
          <t>Widget / measured</t>
        </is>
      </c>
      <c r="I133" s="6" t="inlineStr">
        <is>
          <t>Active</t>
        </is>
      </c>
      <c r="J133" s="6" t="inlineStr">
        <is>
          <t>Yes - value computed</t>
        </is>
      </c>
      <c r="K133" s="7" t="inlineStr"/>
    </row>
    <row r="134" ht="58" customHeight="1">
      <c r="A134" s="5" t="n">
        <v>133</v>
      </c>
      <c r="B134" s="5" t="n">
        <v>19</v>
      </c>
      <c r="C134" s="5" t="inlineStr">
        <is>
          <t>REF-197</t>
        </is>
      </c>
      <c r="D134" s="5" t="inlineStr">
        <is>
          <t>REF-197-A01</t>
        </is>
      </c>
      <c r="E134" s="5" t="inlineStr">
        <is>
          <t>REF-197-G6</t>
        </is>
      </c>
      <c r="F134" s="5" t="inlineStr">
        <is>
          <t>Completion Measures: "Confirm through testing that simulated server crashes result in clean, friendly alerts rather than system code traces." + 4 Substeps #4: "reset input sections back to verified local baseline states upon transaction failure."</t>
        </is>
      </c>
      <c r="G134" s="5" t="inlineStr">
        <is>
          <t>A 500 with a full stack trace surfaces as the plain-language template with a retry control, the form is restored to baseline, and no path, IP, SQL or frame appears anywhere on screen</t>
        </is>
      </c>
      <c r="H134" s="5" t="inlineStr">
        <is>
          <t>Widget / measured</t>
        </is>
      </c>
      <c r="I134" s="5" t="inlineStr">
        <is>
          <t>Active</t>
        </is>
      </c>
      <c r="J134" s="5" t="inlineStr">
        <is>
          <t>No - needs flutter test</t>
        </is>
      </c>
      <c r="K134" s="7" t="inlineStr"/>
    </row>
    <row r="135" ht="58" customHeight="1">
      <c r="A135" s="6" t="n">
        <v>134</v>
      </c>
      <c r="B135" s="6" t="n">
        <v>19</v>
      </c>
      <c r="C135" s="6" t="inlineStr">
        <is>
          <t>REF-197</t>
        </is>
      </c>
      <c r="D135" s="6" t="inlineStr">
        <is>
          <t>REF-197-A01</t>
        </is>
      </c>
      <c r="E135" s="6" t="inlineStr">
        <is>
          <t>REF-197-G7</t>
        </is>
      </c>
      <c r="F135" s="6" t="inlineStr">
        <is>
          <t>Atomic Reusability: "Ensure the error handling boundary can wrap any data-aware component layout."</t>
        </is>
      </c>
      <c r="G135" s="6" t="inlineStr">
        <is>
          <t>The boundary wraps a plain ListView and, with no baseline, presents the template without claiming a rollback occurred</t>
        </is>
      </c>
      <c r="H135" s="6" t="inlineStr">
        <is>
          <t>Unit / logic</t>
        </is>
      </c>
      <c r="I135" s="6" t="inlineStr">
        <is>
          <t>Active</t>
        </is>
      </c>
      <c r="J135" s="6" t="inlineStr">
        <is>
          <t>No - needs flutter test</t>
        </is>
      </c>
      <c r="K135" s="7" t="inlineStr"/>
    </row>
    <row r="136" ht="58" customHeight="1">
      <c r="A136" s="5" t="n">
        <v>135</v>
      </c>
      <c r="B136" s="5" t="n">
        <v>20</v>
      </c>
      <c r="C136" s="5" t="inlineStr">
        <is>
          <t>FIEVR-033</t>
        </is>
      </c>
      <c r="D136" s="5" t="inlineStr">
        <is>
          <t>FIEVR-033-A01</t>
        </is>
      </c>
      <c r="E136" s="5" t="inlineStr">
        <is>
          <t>FIEVR-033-G1</t>
        </is>
      </c>
      <c r="F136" s="5" t="inlineStr">
        <is>
          <t>4 Substeps #1: "Define step configuration paths inside localized form state machines."</t>
        </is>
      </c>
      <c r="G136" s="5" t="inlineStr">
        <is>
          <t>The machine exposes its steps, current index, first/last flags and progress as data, independent of any widget</t>
        </is>
      </c>
      <c r="H136" s="5" t="inlineStr">
        <is>
          <t>Unit / logic</t>
        </is>
      </c>
      <c r="I136" s="5" t="inlineStr">
        <is>
          <t>Active</t>
        </is>
      </c>
      <c r="J136" s="5" t="inlineStr">
        <is>
          <t>No - needs flutter test</t>
        </is>
      </c>
      <c r="K136" s="7" t="inlineStr"/>
    </row>
    <row r="137" ht="58" customHeight="1">
      <c r="A137" s="6" t="n">
        <v>136</v>
      </c>
      <c r="B137" s="6" t="n">
        <v>20</v>
      </c>
      <c r="C137" s="6" t="inlineStr">
        <is>
          <t>FIEVR-033</t>
        </is>
      </c>
      <c r="D137" s="6" t="inlineStr">
        <is>
          <t>FIEVR-033-A01</t>
        </is>
      </c>
      <c r="E137" s="6" t="inlineStr">
        <is>
          <t>FIEVR-033-G2</t>
        </is>
      </c>
      <c r="F137" s="6" t="inlineStr">
        <is>
          <t>4 Substeps #2: "Build an atomic horizontal stepper container under 20 lines of total functional code."</t>
        </is>
      </c>
      <c r="G137" s="6" t="inlineStr">
        <is>
          <t>CarouselStepper.build is 20 executable lines or fewer</t>
        </is>
      </c>
      <c r="H137" s="6" t="inlineStr">
        <is>
          <t>Static scan</t>
        </is>
      </c>
      <c r="I137" s="6" t="inlineStr">
        <is>
          <t>Active</t>
        </is>
      </c>
      <c r="J137" s="6" t="inlineStr">
        <is>
          <t>Yes - value computed</t>
        </is>
      </c>
      <c r="K137" s="7" t="inlineStr"/>
    </row>
    <row r="138" ht="58" customHeight="1">
      <c r="A138" s="5" t="n">
        <v>137</v>
      </c>
      <c r="B138" s="5" t="n">
        <v>20</v>
      </c>
      <c r="C138" s="5" t="inlineStr">
        <is>
          <t>FIEVR-033</t>
        </is>
      </c>
      <c r="D138" s="5" t="inlineStr">
        <is>
          <t>FIEVR-033-A01</t>
        </is>
      </c>
      <c r="E138" s="5" t="inlineStr">
        <is>
          <t>FIEVR-033-G3</t>
        </is>
      </c>
      <c r="F138" s="5" t="inlineStr">
        <is>
          <t>Completion Measures: "Forms glide across steps cleanly in under 200ms."</t>
        </is>
      </c>
      <c r="G138" s="5" t="inlineStr">
        <is>
          <t>Both slide durations sit at or under 200ms</t>
        </is>
      </c>
      <c r="H138" s="5" t="inlineStr">
        <is>
          <t>Widget / measured</t>
        </is>
      </c>
      <c r="I138" s="5" t="inlineStr">
        <is>
          <t>Active</t>
        </is>
      </c>
      <c r="J138" s="5" t="inlineStr">
        <is>
          <t>Yes - value computed</t>
        </is>
      </c>
      <c r="K138" s="7" t="inlineStr"/>
    </row>
    <row r="139" ht="58" customHeight="1">
      <c r="A139" s="6" t="n">
        <v>138</v>
      </c>
      <c r="B139" s="6" t="n">
        <v>20</v>
      </c>
      <c r="C139" s="6" t="inlineStr">
        <is>
          <t>FIEVR-033</t>
        </is>
      </c>
      <c r="D139" s="6" t="inlineStr">
        <is>
          <t>FIEVR-033-A01</t>
        </is>
      </c>
      <c r="E139" s="6" t="inlineStr">
        <is>
          <t>FIEVR-033-G4</t>
        </is>
      </c>
      <c r="F139" s="6" t="inlineStr">
        <is>
          <t>4 Substeps #4: "Code an integrated bottom layout progress dot row to show users their step counts instantly." + UI Decision: "Highlight active step states with clear visual accents."</t>
        </is>
      </c>
      <c r="G139" s="6" t="inlineStr">
        <is>
          <t>Three dots render with exactly one widened active dot, the announced step count updates on advance, and the card swaps</t>
        </is>
      </c>
      <c r="H139" s="6" t="inlineStr">
        <is>
          <t>Widget / measured</t>
        </is>
      </c>
      <c r="I139" s="6" t="inlineStr">
        <is>
          <t>Active</t>
        </is>
      </c>
      <c r="J139" s="6" t="inlineStr">
        <is>
          <t>No - needs flutter test</t>
        </is>
      </c>
      <c r="K139" s="7" t="inlineStr"/>
    </row>
    <row r="140" ht="58" customHeight="1">
      <c r="A140" s="5" t="n">
        <v>139</v>
      </c>
      <c r="B140" s="5" t="n">
        <v>20</v>
      </c>
      <c r="C140" s="5" t="inlineStr">
        <is>
          <t>FIEVR-033</t>
        </is>
      </c>
      <c r="D140" s="5" t="inlineStr">
        <is>
          <t>FIEVR-033-A01</t>
        </is>
      </c>
      <c r="E140" s="5" t="inlineStr">
        <is>
          <t>FIEVR-033-G5</t>
        </is>
      </c>
      <c r="F140" s="5" t="inlineStr">
        <is>
          <t>Mobile-First UX Implementation: "Validate all inputs inside the current card before letting users slide to subsequent steps." + Self-Chasing: "validation errors block forward progress tracking loops across all form steps."</t>
        </is>
      </c>
      <c r="G140" s="5" t="inlineStr">
        <is>
          <t>A step with an invalid field refuses to advance, allows retreat, and reveals its errors on the blocked attempt</t>
        </is>
      </c>
      <c r="H140" s="5" t="inlineStr">
        <is>
          <t>Unit / logic</t>
        </is>
      </c>
      <c r="I140" s="5" t="inlineStr">
        <is>
          <t>Active</t>
        </is>
      </c>
      <c r="J140" s="5" t="inlineStr">
        <is>
          <t>Yes - value computed</t>
        </is>
      </c>
      <c r="K140" s="7" t="inlineStr"/>
    </row>
    <row r="141" ht="58" customHeight="1">
      <c r="A141" s="6" t="n">
        <v>140</v>
      </c>
      <c r="B141" s="6" t="n">
        <v>20</v>
      </c>
      <c r="C141" s="6" t="inlineStr">
        <is>
          <t>FIEVR-033</t>
        </is>
      </c>
      <c r="D141" s="6" t="inlineStr">
        <is>
          <t>FIEVR-033-A01</t>
        </is>
      </c>
      <c r="E141" s="6" t="inlineStr">
        <is>
          <t>FIEVR-033-G6</t>
        </is>
      </c>
      <c r="F141" s="6" t="inlineStr">
        <is>
          <t>Poka-Yoke: "Saves entered inputs locally if an accidental view closure occurs, allowing users to resume entries instantly."</t>
        </is>
      </c>
      <c r="G141" s="6" t="inlineStr">
        <is>
          <t>The draft survives on the machine and can be restored wholesale</t>
        </is>
      </c>
      <c r="H141" s="6" t="inlineStr">
        <is>
          <t>Unit / logic</t>
        </is>
      </c>
      <c r="I141" s="6" t="inlineStr">
        <is>
          <t>Active</t>
        </is>
      </c>
      <c r="J141" s="6" t="inlineStr">
        <is>
          <t>Yes - value computed</t>
        </is>
      </c>
      <c r="K141" s="7" t="inlineStr"/>
    </row>
    <row r="142" ht="58" customHeight="1">
      <c r="A142" s="5" t="n">
        <v>141</v>
      </c>
      <c r="B142" s="5" t="n">
        <v>20</v>
      </c>
      <c r="C142" s="5" t="inlineStr">
        <is>
          <t>FIEVR-033</t>
        </is>
      </c>
      <c r="D142" s="5" t="inlineStr">
        <is>
          <t>FIEVR-033-A01</t>
        </is>
      </c>
      <c r="E142" s="5" t="inlineStr">
        <is>
          <t>FIEVR-033-G7</t>
        </is>
      </c>
      <c r="F142" s="5" t="inlineStr">
        <is>
          <t>UX Decision: "Keep navigation actions easy to access with distinct next and back buttons." + UI Implementation: "Automatically close system keyboards during slide transitions."</t>
        </is>
      </c>
      <c r="G142" s="5" t="inlineStr">
        <is>
          <t>Next is inert on an invalid step and active once it validates; Back on the first step is a safe no-op; focus is released on each transition</t>
        </is>
      </c>
      <c r="H142" s="5" t="inlineStr">
        <is>
          <t>Unit / logic</t>
        </is>
      </c>
      <c r="I142" s="5" t="inlineStr">
        <is>
          <t>Active</t>
        </is>
      </c>
      <c r="J142" s="5" t="inlineStr">
        <is>
          <t>No - needs flutter test</t>
        </is>
      </c>
      <c r="K142" s="7" t="inlineStr"/>
    </row>
    <row r="143" ht="58" customHeight="1">
      <c r="A143" s="6" t="n">
        <v>142</v>
      </c>
      <c r="B143" s="6" t="n">
        <v>20</v>
      </c>
      <c r="C143" s="6" t="inlineStr">
        <is>
          <t>FIEVR-033</t>
        </is>
      </c>
      <c r="D143" s="6" t="inlineStr">
        <is>
          <t>FIEVR-033-A01</t>
        </is>
      </c>
      <c r="E143" s="6" t="inlineStr">
        <is>
          <t>FIEVR-033-G8</t>
        </is>
      </c>
      <c r="F143" s="6" t="inlineStr">
        <is>
          <t>Metric: Scope Coverage / Audit Completeness -- Optimal "100% of relevant items identified and logged in an inventory register."</t>
        </is>
      </c>
      <c r="G143" s="6" t="inlineStr">
        <is>
          <t>Every field named by every step is registered with the gate -- no step can gate on a field nobody tracks</t>
        </is>
      </c>
      <c r="H143" s="6" t="inlineStr">
        <is>
          <t>Unit / logic</t>
        </is>
      </c>
      <c r="I143" s="6" t="inlineStr">
        <is>
          <t>Active</t>
        </is>
      </c>
      <c r="J143" s="6" t="inlineStr">
        <is>
          <t>Yes - value computed</t>
        </is>
      </c>
      <c r="K143" s="7" t="inlineStr"/>
    </row>
    <row r="144" ht="58" customHeight="1">
      <c r="A144" s="5" t="n">
        <v>143</v>
      </c>
      <c r="B144" s="5" t="n">
        <v>21</v>
      </c>
      <c r="C144" s="5" t="inlineStr">
        <is>
          <t>GEN-00055</t>
        </is>
      </c>
      <c r="D144" s="5" t="inlineStr">
        <is>
          <t>GEN-00055-A01</t>
        </is>
      </c>
      <c r="E144" s="5" t="inlineStr">
        <is>
          <t>GEN-00055-G1</t>
        </is>
      </c>
      <c r="F144" s="5" t="inlineStr">
        <is>
          <t>Setup Step (Action): "Build the BottomSheet atomic component using MD3 design tokens."</t>
        </is>
      </c>
      <c r="G144" s="5" t="inlineStr">
        <is>
          <t>Every dimension the sheet uses is a member of an existing token ladder -- the component introduces no numbers of its own</t>
        </is>
      </c>
      <c r="H144" s="5" t="inlineStr">
        <is>
          <t>Unit / logic</t>
        </is>
      </c>
      <c r="I144" s="5" t="inlineStr">
        <is>
          <t>Active</t>
        </is>
      </c>
      <c r="J144" s="5" t="inlineStr">
        <is>
          <t>Yes - value computed</t>
        </is>
      </c>
      <c r="K144" s="7" t="inlineStr"/>
    </row>
    <row r="145" ht="58" customHeight="1">
      <c r="A145" s="6" t="n">
        <v>144</v>
      </c>
      <c r="B145" s="6" t="n">
        <v>21</v>
      </c>
      <c r="C145" s="6" t="inlineStr">
        <is>
          <t>GEN-00055</t>
        </is>
      </c>
      <c r="D145" s="6" t="inlineStr">
        <is>
          <t>GEN-00055-A01</t>
        </is>
      </c>
      <c r="E145" s="6" t="inlineStr">
        <is>
          <t>GEN-00055-G2</t>
        </is>
      </c>
      <c r="F145" s="6" t="inlineStr">
        <is>
          <t>Setup Step Description: "Build the BottomSheet atomic component using MD3 design tokens." -- MD3 shapes the leading corners of a sheet only.</t>
        </is>
      </c>
      <c r="G145" s="6" t="inlineStr">
        <is>
          <t>The shape rounds the top corners at the extra-large radius and leaves the bottom flush with the screen edge</t>
        </is>
      </c>
      <c r="H145" s="6" t="inlineStr">
        <is>
          <t>Unit / logic</t>
        </is>
      </c>
      <c r="I145" s="6" t="inlineStr">
        <is>
          <t>Active</t>
        </is>
      </c>
      <c r="J145" s="6" t="inlineStr">
        <is>
          <t>Yes - value computed</t>
        </is>
      </c>
      <c r="K145" s="7" t="inlineStr"/>
    </row>
    <row r="146" ht="58" customHeight="1">
      <c r="A146" s="5" t="n">
        <v>145</v>
      </c>
      <c r="B146" s="5" t="n">
        <v>21</v>
      </c>
      <c r="C146" s="5" t="inlineStr">
        <is>
          <t>GEN-00055</t>
        </is>
      </c>
      <c r="D146" s="5" t="inlineStr">
        <is>
          <t>GEN-00055-A01</t>
        </is>
      </c>
      <c r="E146" s="5" t="inlineStr">
        <is>
          <t>GEN-00055-G3</t>
        </is>
      </c>
      <c r="F146" s="5" t="inlineStr">
        <is>
          <t>Metric Name: Component Delivery Completeness. Optimal: "100% functional + documented delivery."</t>
        </is>
      </c>
      <c r="G146" s="5" t="inlineStr">
        <is>
          <t>The component is documented where a developer will look: the source carries its atomic step reference, and the codebase README names it</t>
        </is>
      </c>
      <c r="H146" s="5" t="inlineStr">
        <is>
          <t>Unit / logic</t>
        </is>
      </c>
      <c r="I146" s="5" t="inlineStr">
        <is>
          <t>Active</t>
        </is>
      </c>
      <c r="J146" s="5" t="inlineStr">
        <is>
          <t>No - needs flutter test</t>
        </is>
      </c>
      <c r="K146" s="7" t="inlineStr"/>
    </row>
    <row r="147" ht="58" customHeight="1">
      <c r="A147" s="6" t="n">
        <v>146</v>
      </c>
      <c r="B147" s="6" t="n">
        <v>21</v>
      </c>
      <c r="C147" s="6" t="inlineStr">
        <is>
          <t>GEN-00055</t>
        </is>
      </c>
      <c r="D147" s="6" t="inlineStr">
        <is>
          <t>GEN-00055-A01</t>
        </is>
      </c>
      <c r="E147" s="6" t="inlineStr">
        <is>
          <t>GEN-00055-G4</t>
        </is>
      </c>
      <c r="F147" s="6" t="inlineStr">
        <is>
          <t>Setup Step (Action) -- an "atomic component" is one whose appearance cannot be overridden per call site.</t>
        </is>
      </c>
      <c r="G147" s="6" t="inlineStr">
        <is>
          <t>The sheet is fixed at elevation level 1 of the shared ladder, and the level resolves to a real rung</t>
        </is>
      </c>
      <c r="H147" s="6" t="inlineStr">
        <is>
          <t>Unit / logic</t>
        </is>
      </c>
      <c r="I147" s="6" t="inlineStr">
        <is>
          <t>Active</t>
        </is>
      </c>
      <c r="J147" s="6" t="inlineStr">
        <is>
          <t>Yes - value computed</t>
        </is>
      </c>
      <c r="K147" s="7" t="inlineStr"/>
    </row>
    <row r="148" ht="58" customHeight="1">
      <c r="A148" s="5" t="n">
        <v>147</v>
      </c>
      <c r="B148" s="5" t="n">
        <v>21</v>
      </c>
      <c r="C148" s="5" t="inlineStr">
        <is>
          <t>GEN-00055</t>
        </is>
      </c>
      <c r="D148" s="5" t="inlineStr">
        <is>
          <t>GEN-00055-A01</t>
        </is>
      </c>
      <c r="E148" s="5" t="inlineStr">
        <is>
          <t>GEN-00055-G5</t>
        </is>
      </c>
      <c r="F148" s="5" t="inlineStr">
        <is>
          <t>Setup Step (Action): "Build the BottomSheet atomic component using MD3 design tokens." Measured on the rendered surface rather than read back off the constants.</t>
        </is>
      </c>
      <c r="G148" s="5" t="inlineStr">
        <is>
          <t>The drag handle renders at exactly the token size and the content padding is the token, with no caller override</t>
        </is>
      </c>
      <c r="H148" s="5" t="inlineStr">
        <is>
          <t>Widget / measured</t>
        </is>
      </c>
      <c r="I148" s="5" t="inlineStr">
        <is>
          <t>Active</t>
        </is>
      </c>
      <c r="J148" s="5" t="inlineStr">
        <is>
          <t>No - needs flutter test</t>
        </is>
      </c>
      <c r="K148" s="7" t="inlineStr"/>
    </row>
    <row r="149" ht="58" customHeight="1">
      <c r="A149" s="6" t="n">
        <v>148</v>
      </c>
      <c r="B149" s="6" t="n">
        <v>21</v>
      </c>
      <c r="C149" s="6" t="inlineStr">
        <is>
          <t>GEN-00055</t>
        </is>
      </c>
      <c r="D149" s="6" t="inlineStr">
        <is>
          <t>GEN-00055-A01</t>
        </is>
      </c>
      <c r="E149" s="6" t="inlineStr">
        <is>
          <t>GEN-00055-G6</t>
        </is>
      </c>
      <c r="F149" s="6" t="inlineStr">
        <is>
          <t>Setup Step (Action): "...using MD3 design tokens." A component that accepts a colour is not built from tokens, it is built from whatever the last caller passed.</t>
        </is>
      </c>
      <c r="G149" s="6" t="inlineStr">
        <is>
          <t>The rendered Material takes its colour from the scheme and its elevation from the ladder</t>
        </is>
      </c>
      <c r="H149" s="6" t="inlineStr">
        <is>
          <t>Widget / measured</t>
        </is>
      </c>
      <c r="I149" s="6" t="inlineStr">
        <is>
          <t>Active</t>
        </is>
      </c>
      <c r="J149" s="6" t="inlineStr">
        <is>
          <t>No - needs flutter test</t>
        </is>
      </c>
      <c r="K149" s="7" t="inlineStr"/>
    </row>
    <row r="150" ht="58" customHeight="1">
      <c r="A150" s="5" t="n">
        <v>149</v>
      </c>
      <c r="B150" s="5" t="n">
        <v>21</v>
      </c>
      <c r="C150" s="5" t="inlineStr">
        <is>
          <t>GEN-00055</t>
        </is>
      </c>
      <c r="D150" s="5" t="inlineStr">
        <is>
          <t>GEN-00055-A01</t>
        </is>
      </c>
      <c r="E150" s="5" t="inlineStr">
        <is>
          <t>GEN-00055-G7</t>
        </is>
      </c>
      <c r="F150" s="5" t="inlineStr">
        <is>
          <t>Setup Step (Action): "Build the BottomSheet atomic component." The component is only atomic if the presentation API cannot bypass it.</t>
        </is>
      </c>
      <c r="G150" s="5" t="inlineStr">
        <is>
          <t>HabotBottomSheet.show renders the tokenised chassis with its title, drag handle and caller content</t>
        </is>
      </c>
      <c r="H150" s="5" t="inlineStr">
        <is>
          <t>Widget / measured</t>
        </is>
      </c>
      <c r="I150" s="5" t="inlineStr">
        <is>
          <t>Active</t>
        </is>
      </c>
      <c r="J150" s="5" t="inlineStr">
        <is>
          <t>No - needs flutter test</t>
        </is>
      </c>
      <c r="K150" s="7" t="inlineStr"/>
    </row>
    <row r="151" ht="58" customHeight="1">
      <c r="A151" s="6" t="n">
        <v>150</v>
      </c>
      <c r="B151" s="6" t="n">
        <v>22</v>
      </c>
      <c r="C151" s="6" t="inlineStr">
        <is>
          <t>GEN-00954</t>
        </is>
      </c>
      <c r="D151" s="6" t="inlineStr">
        <is>
          <t>GEN-00954-A01</t>
        </is>
      </c>
      <c r="E151" s="6" t="inlineStr">
        <is>
          <t>GEN-00954-G1</t>
        </is>
      </c>
      <c r="F151" s="6" t="inlineStr">
        <is>
          <t>Expected Output: "Configure backdrop scrim color to 32% opacity black." + Metric: Scrim Opacity Compliance, Floor = Optimal = Ceiling = 32%.</t>
        </is>
      </c>
      <c r="G151" s="6" t="inlineStr">
        <is>
          <t>The scrim is exactly 32% opaque -- not 30, not a third, not "about a third"</t>
        </is>
      </c>
      <c r="H151" s="6" t="inlineStr">
        <is>
          <t>Unit / logic</t>
        </is>
      </c>
      <c r="I151" s="6" t="inlineStr">
        <is>
          <t>Active</t>
        </is>
      </c>
      <c r="J151" s="6" t="inlineStr">
        <is>
          <t>Yes - value computed</t>
        </is>
      </c>
      <c r="K151" s="7" t="inlineStr"/>
    </row>
    <row r="152" ht="58" customHeight="1">
      <c r="A152" s="5" t="n">
        <v>151</v>
      </c>
      <c r="B152" s="5" t="n">
        <v>22</v>
      </c>
      <c r="C152" s="5" t="inlineStr">
        <is>
          <t>GEN-00954</t>
        </is>
      </c>
      <c r="D152" s="5" t="inlineStr">
        <is>
          <t>GEN-00954-A01</t>
        </is>
      </c>
      <c r="E152" s="5" t="inlineStr">
        <is>
          <t>GEN-00954-G2</t>
        </is>
      </c>
      <c r="F152" s="5" t="inlineStr">
        <is>
          <t>Expected Output: "...32% opacity BLACK."</t>
        </is>
      </c>
      <c r="G152" s="5" t="inlineStr">
        <is>
          <t>The scrim colour is pure black, and the composed scrim carries the token opacity rather than baking an alpha into the hex</t>
        </is>
      </c>
      <c r="H152" s="5" t="inlineStr">
        <is>
          <t>Unit / logic</t>
        </is>
      </c>
      <c r="I152" s="5" t="inlineStr">
        <is>
          <t>Active</t>
        </is>
      </c>
      <c r="J152" s="5" t="inlineStr">
        <is>
          <t>Yes - value computed</t>
        </is>
      </c>
      <c r="K152" s="7" t="inlineStr"/>
    </row>
    <row r="153" ht="58" customHeight="1">
      <c r="A153" s="6" t="n">
        <v>152</v>
      </c>
      <c r="B153" s="6" t="n">
        <v>22</v>
      </c>
      <c r="C153" s="6" t="inlineStr">
        <is>
          <t>GEN-00954</t>
        </is>
      </c>
      <c r="D153" s="6" t="inlineStr">
        <is>
          <t>GEN-00954-A01</t>
        </is>
      </c>
      <c r="E153" s="6" t="inlineStr">
        <is>
          <t>GEN-00954-G3</t>
        </is>
      </c>
      <c r="F153" s="6" t="inlineStr">
        <is>
          <t>Setup Step (Action): "STANDARDIZE MD3 Bottom-Sheet UI for Mobile Complex Action Flows." Standardised means one scrim, not one per flow.</t>
        </is>
      </c>
      <c r="G153" s="6" t="inlineStr">
        <is>
          <t>Exactly one place in lib/ supplies a barrier colour, and it supplies the token -- so no flow can open a sheet over a scrim of its own</t>
        </is>
      </c>
      <c r="H153" s="6" t="inlineStr">
        <is>
          <t>Static scan</t>
        </is>
      </c>
      <c r="I153" s="6" t="inlineStr">
        <is>
          <t>Active</t>
        </is>
      </c>
      <c r="J153" s="6" t="inlineStr">
        <is>
          <t>No - needs flutter test</t>
        </is>
      </c>
      <c r="K153" s="7" t="inlineStr"/>
    </row>
    <row r="154" ht="58" customHeight="1">
      <c r="A154" s="5" t="n">
        <v>153</v>
      </c>
      <c r="B154" s="5" t="n">
        <v>22</v>
      </c>
      <c r="C154" s="5" t="inlineStr">
        <is>
          <t>GEN-00954</t>
        </is>
      </c>
      <c r="D154" s="5" t="inlineStr">
        <is>
          <t>GEN-00954-A01</t>
        </is>
      </c>
      <c r="E154" s="5" t="inlineStr">
        <is>
          <t>GEN-00954-G4</t>
        </is>
      </c>
      <c r="F154" s="5" t="inlineStr">
        <is>
          <t>Setup Step (Action) -- a scrim exists to separate the sheet from the page beneath it; if it does not darken enough to do that, it is decoration.</t>
        </is>
      </c>
      <c r="G154" s="5" t="inlineStr">
        <is>
          <t>The scrim measurably darkens both schemes: the scrimmed page surface is at least 25% darker in relative luminance in light mode, and the sheet still clears the text floor against its own surface</t>
        </is>
      </c>
      <c r="H154" s="5" t="inlineStr">
        <is>
          <t>Unit / logic</t>
        </is>
      </c>
      <c r="I154" s="5" t="inlineStr">
        <is>
          <t>Active</t>
        </is>
      </c>
      <c r="J154" s="5" t="inlineStr">
        <is>
          <t>Yes - value computed</t>
        </is>
      </c>
      <c r="K154" s="7" t="inlineStr"/>
    </row>
    <row r="155" ht="58" customHeight="1">
      <c r="A155" s="6" t="n">
        <v>154</v>
      </c>
      <c r="B155" s="6" t="n">
        <v>22</v>
      </c>
      <c r="C155" s="6" t="inlineStr">
        <is>
          <t>GEN-00954</t>
        </is>
      </c>
      <c r="D155" s="6" t="inlineStr">
        <is>
          <t>GEN-00954-A01</t>
        </is>
      </c>
      <c r="E155" s="6" t="inlineStr">
        <is>
          <t>GEN-00954-G5</t>
        </is>
      </c>
      <c r="F155" s="6" t="inlineStr">
        <is>
          <t>Expected Output: "Configure backdrop scrim color to 32% opacity black." A scrim that does not take the pointer is a tint, not a modal barrier.</t>
        </is>
      </c>
      <c r="G155" s="6" t="inlineStr">
        <is>
          <t>The modal route shows the sheet over the standard scrim, and a tap on the scrim dismisses it</t>
        </is>
      </c>
      <c r="H155" s="6" t="inlineStr">
        <is>
          <t>Widget / measured</t>
        </is>
      </c>
      <c r="I155" s="6" t="inlineStr">
        <is>
          <t>Active</t>
        </is>
      </c>
      <c r="J155" s="6" t="inlineStr">
        <is>
          <t>No - needs flutter test</t>
        </is>
      </c>
      <c r="K155" s="7" t="inlineStr"/>
    </row>
    <row r="156" ht="58" customHeight="1">
      <c r="A156" s="5" t="n">
        <v>155</v>
      </c>
      <c r="B156" s="5" t="n">
        <v>22</v>
      </c>
      <c r="C156" s="5" t="inlineStr">
        <is>
          <t>GEN-00954</t>
        </is>
      </c>
      <c r="D156" s="5" t="inlineStr">
        <is>
          <t>GEN-00954-A01</t>
        </is>
      </c>
      <c r="E156" s="5" t="inlineStr">
        <is>
          <t>GEN-00954-G6</t>
        </is>
      </c>
      <c r="F156" s="5" t="inlineStr">
        <is>
          <t>Setup Step (Action): "Standardize MD3 Bottom-Sheet UI." The standard has to include the accessibility behaviour, or every flow re-decides it.</t>
        </is>
      </c>
      <c r="G156" s="5" t="inlineStr">
        <is>
          <t>Under MediaQuery.disableAnimations the sheet route opens with zero-duration motion in both directions</t>
        </is>
      </c>
      <c r="H156" s="5" t="inlineStr">
        <is>
          <t>WCAG contrast</t>
        </is>
      </c>
      <c r="I156" s="5" t="inlineStr">
        <is>
          <t>Active</t>
        </is>
      </c>
      <c r="J156" s="5" t="inlineStr">
        <is>
          <t>No - needs flutter test</t>
        </is>
      </c>
      <c r="K156" s="7" t="inlineStr"/>
    </row>
    <row r="157" ht="58" customHeight="1">
      <c r="A157" s="6" t="n">
        <v>156</v>
      </c>
      <c r="B157" s="6" t="n">
        <v>23</v>
      </c>
      <c r="C157" s="6" t="inlineStr">
        <is>
          <t>GEN-00235</t>
        </is>
      </c>
      <c r="D157" s="6" t="inlineStr">
        <is>
          <t>GEN-00235-A01</t>
        </is>
      </c>
      <c r="E157" s="6" t="inlineStr">
        <is>
          <t>GEN-00235-G1</t>
        </is>
      </c>
      <c r="F157" s="6" t="inlineStr">
        <is>
          <t>Setup Step (Action): "Set the default snapping point to 60% viewport height."</t>
        </is>
      </c>
      <c r="G157" s="6" t="inlineStr">
        <is>
          <t>The default stop is exactly 0.60 of the viewport</t>
        </is>
      </c>
      <c r="H157" s="6" t="inlineStr">
        <is>
          <t>Unit / logic</t>
        </is>
      </c>
      <c r="I157" s="6" t="inlineStr">
        <is>
          <t>Active</t>
        </is>
      </c>
      <c r="J157" s="6" t="inlineStr">
        <is>
          <t>Yes - value computed</t>
        </is>
      </c>
      <c r="K157" s="7" t="inlineStr"/>
    </row>
    <row r="158" ht="58" customHeight="1">
      <c r="A158" s="5" t="n">
        <v>157</v>
      </c>
      <c r="B158" s="5" t="n">
        <v>23</v>
      </c>
      <c r="C158" s="5" t="inlineStr">
        <is>
          <t>GEN-00235</t>
        </is>
      </c>
      <c r="D158" s="5" t="inlineStr">
        <is>
          <t>GEN-00235-A01</t>
        </is>
      </c>
      <c r="E158" s="5" t="inlineStr">
        <is>
          <t>GEN-00235-G2</t>
        </is>
      </c>
      <c r="F158" s="5" t="inlineStr">
        <is>
          <t>Setup Step (Action) -- a "snapping point" only exists among other stops; a lone value is an initial size, not a snap.</t>
        </is>
      </c>
      <c r="G158" s="5" t="inlineStr">
        <is>
          <t>The stops are ascending, bounded by the min and max, and the default is one of them</t>
        </is>
      </c>
      <c r="H158" s="5" t="inlineStr">
        <is>
          <t>Unit / logic</t>
        </is>
      </c>
      <c r="I158" s="5" t="inlineStr">
        <is>
          <t>Active</t>
        </is>
      </c>
      <c r="J158" s="5" t="inlineStr">
        <is>
          <t>Yes - value computed</t>
        </is>
      </c>
      <c r="K158" s="7" t="inlineStr"/>
    </row>
    <row r="159" ht="58" customHeight="1">
      <c r="A159" s="6" t="n">
        <v>158</v>
      </c>
      <c r="B159" s="6" t="n">
        <v>23</v>
      </c>
      <c r="C159" s="6" t="inlineStr">
        <is>
          <t>GEN-00235</t>
        </is>
      </c>
      <c r="D159" s="6" t="inlineStr">
        <is>
          <t>GEN-00235-A01</t>
        </is>
      </c>
      <c r="E159" s="6" t="inlineStr">
        <is>
          <t>GEN-00235-G3</t>
        </is>
      </c>
      <c r="F159" s="6" t="inlineStr">
        <is>
          <t>Metric: Cross-Viewport Rendering Consistency. Floor "Zero regressions on primary breakpoints (360/390/412px)", Optimal "Zero regressions across full tested device matrix."</t>
        </is>
      </c>
      <c r="G159" s="6" t="inlineStr">
        <is>
          <t>On every device in the recorded matrix, the 60% stop leaves a usable sheet -- checked device by device, not inferred from the fraction</t>
        </is>
      </c>
      <c r="H159" s="6" t="inlineStr">
        <is>
          <t>Unit / logic</t>
        </is>
      </c>
      <c r="I159" s="6" t="inlineStr">
        <is>
          <t>Active</t>
        </is>
      </c>
      <c r="J159" s="6" t="inlineStr">
        <is>
          <t>Yes - value computed</t>
        </is>
      </c>
      <c r="K159" s="7" t="inlineStr"/>
    </row>
    <row r="160" ht="58" customHeight="1">
      <c r="A160" s="5" t="n">
        <v>159</v>
      </c>
      <c r="B160" s="5" t="n">
        <v>23</v>
      </c>
      <c r="C160" s="5" t="inlineStr">
        <is>
          <t>GEN-00235</t>
        </is>
      </c>
      <c r="D160" s="5" t="inlineStr">
        <is>
          <t>GEN-00235-A01</t>
        </is>
      </c>
      <c r="E160" s="5" t="inlineStr">
        <is>
          <t>GEN-00235-G4</t>
        </is>
      </c>
      <c r="F160" s="5" t="inlineStr">
        <is>
          <t>Metric: Cross-Viewport Rendering Consistency -- "consistency" fails the moment one screen size gets its own value.</t>
        </is>
      </c>
      <c r="G160" s="5" t="inlineStr">
        <is>
          <t>No file under lib/ overrides the snap fraction: the token is read, never redefined, and no device-conditional snap logic exists</t>
        </is>
      </c>
      <c r="H160" s="5" t="inlineStr">
        <is>
          <t>Static scan</t>
        </is>
      </c>
      <c r="I160" s="5" t="inlineStr">
        <is>
          <t>Active</t>
        </is>
      </c>
      <c r="J160" s="5" t="inlineStr">
        <is>
          <t>No - needs flutter test</t>
        </is>
      </c>
      <c r="K160" s="7" t="inlineStr"/>
    </row>
    <row r="161" ht="58" customHeight="1">
      <c r="A161" s="6" t="n">
        <v>160</v>
      </c>
      <c r="B161" s="6" t="n">
        <v>23</v>
      </c>
      <c r="C161" s="6" t="inlineStr">
        <is>
          <t>GEN-00235</t>
        </is>
      </c>
      <c r="D161" s="6" t="inlineStr">
        <is>
          <t>GEN-00235-A01</t>
        </is>
      </c>
      <c r="E161" s="6" t="inlineStr">
        <is>
          <t>GEN-00235-G5</t>
        </is>
      </c>
      <c r="F161" s="6" t="inlineStr">
        <is>
          <t>Common Library to Store -- tokens.json is the source of truth for every design value.</t>
        </is>
      </c>
      <c r="G161" s="6" t="inlineStr">
        <is>
          <t>The snap fractions in tokens.json match the Dart constants exactly</t>
        </is>
      </c>
      <c r="H161" s="6" t="inlineStr">
        <is>
          <t>Token drift</t>
        </is>
      </c>
      <c r="I161" s="6" t="inlineStr">
        <is>
          <t>Active</t>
        </is>
      </c>
      <c r="J161" s="6" t="inlineStr">
        <is>
          <t>Yes - value computed</t>
        </is>
      </c>
      <c r="K161" s="7" t="inlineStr"/>
    </row>
    <row r="162" ht="58" customHeight="1">
      <c r="A162" s="5" t="n">
        <v>161</v>
      </c>
      <c r="B162" s="5" t="n">
        <v>23</v>
      </c>
      <c r="C162" s="5" t="inlineStr">
        <is>
          <t>GEN-00235</t>
        </is>
      </c>
      <c r="D162" s="5" t="inlineStr">
        <is>
          <t>GEN-00235-A01</t>
        </is>
      </c>
      <c r="E162" s="5" t="inlineStr">
        <is>
          <t>GEN-00235-G6</t>
        </is>
      </c>
      <c r="F162" s="5" t="inlineStr">
        <is>
          <t>Setup Step (Action): "Set the default snapping point to 60% viewport height for optimal thumb interaction." Measured on a rendered sheet rather than read back off the constant.</t>
        </is>
      </c>
      <c r="G162" s="5" t="inlineStr">
        <is>
          <t>On a 390x844 viewport the opened sheet occupies the 60% stop, leaving the top 40% of the screen visible</t>
        </is>
      </c>
      <c r="H162" s="5" t="inlineStr">
        <is>
          <t>Unit / logic</t>
        </is>
      </c>
      <c r="I162" s="5" t="inlineStr">
        <is>
          <t>Active</t>
        </is>
      </c>
      <c r="J162" s="5" t="inlineStr">
        <is>
          <t>No - needs flutter test</t>
        </is>
      </c>
      <c r="K162" s="7" t="inlineStr"/>
    </row>
    <row r="163" ht="58" customHeight="1">
      <c r="A163" s="6" t="n">
        <v>162</v>
      </c>
      <c r="B163" s="6" t="n">
        <v>24</v>
      </c>
      <c r="C163" s="6" t="inlineStr">
        <is>
          <t>MUFCE-028</t>
        </is>
      </c>
      <c r="D163" s="6" t="inlineStr">
        <is>
          <t>MUFCE-028-A01</t>
        </is>
      </c>
      <c r="E163" s="6" t="inlineStr">
        <is>
          <t>MUFCE-028-G1</t>
        </is>
      </c>
      <c r="F163" s="6" t="inlineStr">
        <is>
          <t>4 Substeps #1: "Strip all .onHover logic actions from mobile codebase templates." + Setup Step: "Mandatory removal of ALL mouse hover tooltips."</t>
        </is>
      </c>
      <c r="G163" s="6" t="inlineStr">
        <is>
          <t>Zero hover callbacks and zero Tooltip widgets exist anywhere under lib/ -- the removal is complete, not partial</t>
        </is>
      </c>
      <c r="H163" s="6" t="inlineStr">
        <is>
          <t>Static scan</t>
        </is>
      </c>
      <c r="I163" s="6" t="inlineStr">
        <is>
          <t>Active</t>
        </is>
      </c>
      <c r="J163" s="6" t="inlineStr">
        <is>
          <t>Yes - value computed</t>
        </is>
      </c>
      <c r="K163" s="7" t="inlineStr"/>
    </row>
    <row r="164" ht="58" customHeight="1">
      <c r="A164" s="5" t="n">
        <v>163</v>
      </c>
      <c r="B164" s="5" t="n">
        <v>24</v>
      </c>
      <c r="C164" s="5" t="inlineStr">
        <is>
          <t>MUFCE-028</t>
        </is>
      </c>
      <c r="D164" s="5" t="inlineStr">
        <is>
          <t>MUFCE-028-A01</t>
        </is>
      </c>
      <c r="E164" s="5" t="inlineStr">
        <is>
          <t>MUFCE-028-G2</t>
        </is>
      </c>
      <c r="F164" s="5" t="inlineStr">
        <is>
          <t>Setup Step: "...replacement with touch long-press modal sheets." A removal with no replacement loses the information.</t>
        </is>
      </c>
      <c r="G164" s="5" t="inlineStr">
        <is>
          <t>The replacement exists and is the only metadata route: HabotMetadataDisclosure opens the bottom drawer, and it is what the touch target now calls</t>
        </is>
      </c>
      <c r="H164" s="5" t="inlineStr">
        <is>
          <t>Unit / logic</t>
        </is>
      </c>
      <c r="I164" s="5" t="inlineStr">
        <is>
          <t>Active</t>
        </is>
      </c>
      <c r="J164" s="5" t="inlineStr">
        <is>
          <t>Yes - value computed</t>
        </is>
      </c>
      <c r="K164" s="7" t="inlineStr"/>
    </row>
    <row r="165" ht="58" customHeight="1">
      <c r="A165" s="6" t="n">
        <v>164</v>
      </c>
      <c r="B165" s="6" t="n">
        <v>24</v>
      </c>
      <c r="C165" s="6" t="inlineStr">
        <is>
          <t>MUFCE-028</t>
        </is>
      </c>
      <c r="D165" s="6" t="inlineStr">
        <is>
          <t>MUFCE-028-A01</t>
        </is>
      </c>
      <c r="E165" s="6" t="inlineStr">
        <is>
          <t>MUFCE-028-G3</t>
        </is>
      </c>
      <c r="F165" s="6" t="inlineStr">
        <is>
          <t>Metric: Environment / Asset Access Readiness. Floor "Located on first attempt", Optimal "Path version-controlled &amp; documented".</t>
        </is>
      </c>
      <c r="G165" s="6" t="inlineStr">
        <is>
          <t>The replacement component sits at one documented, version-controlled path, named in the codebase README</t>
        </is>
      </c>
      <c r="H165" s="6" t="inlineStr">
        <is>
          <t>Unit / logic</t>
        </is>
      </c>
      <c r="I165" s="6" t="inlineStr">
        <is>
          <t>Active</t>
        </is>
      </c>
      <c r="J165" s="6" t="inlineStr">
        <is>
          <t>No - needs flutter test</t>
        </is>
      </c>
      <c r="K165" s="7" t="inlineStr"/>
    </row>
    <row r="166" ht="58" customHeight="1">
      <c r="A166" s="5" t="n">
        <v>165</v>
      </c>
      <c r="B166" s="5" t="n">
        <v>24</v>
      </c>
      <c r="C166" s="5" t="inlineStr">
        <is>
          <t>MUFCE-028</t>
        </is>
      </c>
      <c r="D166" s="5" t="inlineStr">
        <is>
          <t>MUFCE-028-A01</t>
        </is>
      </c>
      <c r="E166" s="5" t="inlineStr">
        <is>
          <t>MUFCE-028-G4</t>
        </is>
      </c>
      <c r="F166" s="5" t="inlineStr">
        <is>
          <t>4 Substeps #2: "Bind formula lookup scripts to explicit touch-and-hold gestures." + #3: "Route rich metadata descriptions to smooth bottom drawer overlays."</t>
        </is>
      </c>
      <c r="G166" s="5" t="inlineStr">
        <is>
          <t>Long-press on a touch target opens the metadata drawer carrying the detail text, with no tooltip anywhere in the tree</t>
        </is>
      </c>
      <c r="H166" s="5" t="inlineStr">
        <is>
          <t>Widget / measured</t>
        </is>
      </c>
      <c r="I166" s="5" t="inlineStr">
        <is>
          <t>Active</t>
        </is>
      </c>
      <c r="J166" s="5" t="inlineStr">
        <is>
          <t>No - needs flutter test</t>
        </is>
      </c>
      <c r="K166" s="7" t="inlineStr"/>
    </row>
    <row r="167" ht="58" customHeight="1">
      <c r="A167" s="6" t="n">
        <v>166</v>
      </c>
      <c r="B167" s="6" t="n">
        <v>24</v>
      </c>
      <c r="C167" s="6" t="inlineStr">
        <is>
          <t>MUFCE-028</t>
        </is>
      </c>
      <c r="D167" s="6" t="inlineStr">
        <is>
          <t>MUFCE-028-A01</t>
        </is>
      </c>
      <c r="E167" s="6" t="inlineStr">
        <is>
          <t>MUFCE-028-G5</t>
        </is>
      </c>
      <c r="F167" s="6" t="inlineStr">
        <is>
          <t>4 Substeps #2: "Bind FORMULA LOOKUP scripts to explicit touch-and-hold gestures." + #3: "Route RICH metadata descriptions to smooth bottom drawer overlays."</t>
        </is>
      </c>
      <c r="G167" s="6" t="inlineStr">
        <is>
          <t>The drawer presents description, derivation formula and source together -- the full metadata, not a truncated phrase</t>
        </is>
      </c>
      <c r="H167" s="6" t="inlineStr">
        <is>
          <t>Unit / logic</t>
        </is>
      </c>
      <c r="I167" s="6" t="inlineStr">
        <is>
          <t>Active</t>
        </is>
      </c>
      <c r="J167" s="6" t="inlineStr">
        <is>
          <t>No - needs flutter test</t>
        </is>
      </c>
      <c r="K167" s="7" t="inlineStr"/>
    </row>
    <row r="168" ht="58" customHeight="1">
      <c r="A168" s="5" t="n">
        <v>167</v>
      </c>
      <c r="B168" s="5" t="n">
        <v>24</v>
      </c>
      <c r="C168" s="5" t="inlineStr">
        <is>
          <t>MUFCE-028</t>
        </is>
      </c>
      <c r="D168" s="5" t="inlineStr">
        <is>
          <t>MUFCE-028-A01</t>
        </is>
      </c>
      <c r="E168" s="5" t="inlineStr">
        <is>
          <t>MUFCE-028-G6</t>
        </is>
      </c>
      <c r="F168" s="5" t="inlineStr">
        <is>
          <t>4 Substeps #4: "Set up an alternative quick-tap option icon next to dynamic labels."</t>
        </is>
      </c>
      <c r="G168" s="5" t="inlineStr">
        <is>
          <t>The trailing disclosure icon is a compliant touch target and a single tap opens the same drawer the long-press does</t>
        </is>
      </c>
      <c r="H168" s="5" t="inlineStr">
        <is>
          <t>Widget / measured</t>
        </is>
      </c>
      <c r="I168" s="5" t="inlineStr">
        <is>
          <t>Active</t>
        </is>
      </c>
      <c r="J168" s="5" t="inlineStr">
        <is>
          <t>No - needs flutter test</t>
        </is>
      </c>
      <c r="K168" s="7" t="inlineStr"/>
    </row>
    <row r="169" ht="58" customHeight="1">
      <c r="A169" s="6" t="n">
        <v>168</v>
      </c>
      <c r="B169" s="6" t="n">
        <v>24</v>
      </c>
      <c r="C169" s="6" t="inlineStr">
        <is>
          <t>MUFCE-028</t>
        </is>
      </c>
      <c r="D169" s="6" t="inlineStr">
        <is>
          <t>MUFCE-028-A01</t>
        </is>
      </c>
      <c r="E169" s="6" t="inlineStr">
        <is>
          <t>MUFCE-028-G7</t>
        </is>
      </c>
      <c r="F169" s="6" t="inlineStr">
        <is>
          <t>Setup Step: "Mandatory removal of ALL mouse hover tooltips." + ANSA-012 UX row: "Hide excessive, low-priority shortcut items inside unified trailing overflow menus on tight displays."</t>
        </is>
      </c>
      <c r="G169" s="6" t="inlineStr">
        <is>
          <t>The header overflow opens as a bottom drawer and no PopupMenuButton (which the framework always wraps in a Tooltip) remains under lib/</t>
        </is>
      </c>
      <c r="H169" s="6" t="inlineStr">
        <is>
          <t>Widget / measured</t>
        </is>
      </c>
      <c r="I169" s="6" t="inlineStr">
        <is>
          <t>Active</t>
        </is>
      </c>
      <c r="J169" s="6" t="inlineStr">
        <is>
          <t>No - needs flutter test</t>
        </is>
      </c>
      <c r="K169" s="7" t="inlineStr"/>
    </row>
    <row r="170" ht="58" customHeight="1">
      <c r="A170" s="5" t="n">
        <v>169</v>
      </c>
      <c r="B170" s="5" t="n">
        <v>25</v>
      </c>
      <c r="C170" s="5" t="inlineStr">
        <is>
          <t>GEN-01363</t>
        </is>
      </c>
      <c r="D170" s="5" t="inlineStr">
        <is>
          <t>GEN-01363-A01</t>
        </is>
      </c>
      <c r="E170" s="5" t="inlineStr">
        <is>
          <t>GEN-01363-G1</t>
        </is>
      </c>
      <c r="F170" s="5" t="inlineStr">
        <is>
          <t>Setup Step (Action): "Bind the client UI error boundaries to trigger M3 error Snackbars UPON CAUGHT EXCEPTIONS."</t>
        </is>
      </c>
      <c r="G170" s="5" t="inlineStr">
        <is>
          <t>A caught exception is classified into a template before it can be shown, and the message the user sees is the wording of the template, never the wording of the exception</t>
        </is>
      </c>
      <c r="H170" s="5" t="inlineStr">
        <is>
          <t>Unit / logic</t>
        </is>
      </c>
      <c r="I170" s="5" t="inlineStr">
        <is>
          <t>Active</t>
        </is>
      </c>
      <c r="J170" s="5" t="inlineStr">
        <is>
          <t>No - needs flutter test</t>
        </is>
      </c>
      <c r="K170" s="7" t="inlineStr"/>
    </row>
    <row r="171" ht="58" customHeight="1">
      <c r="A171" s="6" t="n">
        <v>170</v>
      </c>
      <c r="B171" s="6" t="n">
        <v>25</v>
      </c>
      <c r="C171" s="6" t="inlineStr">
        <is>
          <t>GEN-01363</t>
        </is>
      </c>
      <c r="D171" s="6" t="inlineStr">
        <is>
          <t>GEN-01363-A01</t>
        </is>
      </c>
      <c r="E171" s="6" t="inlineStr">
        <is>
          <t>GEN-01363-G2</t>
        </is>
      </c>
      <c r="F171" s="6" t="inlineStr">
        <is>
          <t>REF-197 Poka-Yoke, inherited: "Catch-all code structures strip out server-specific error language automatically before messages reach the UI layer."</t>
        </is>
      </c>
      <c r="G171" s="6" t="inlineStr">
        <is>
          <t>The snackbar message survives the presentability check: nothing the scrubber redacts and no jargon from the banned list</t>
        </is>
      </c>
      <c r="H171" s="6" t="inlineStr">
        <is>
          <t>Unit / logic</t>
        </is>
      </c>
      <c r="I171" s="6" t="inlineStr">
        <is>
          <t>Active</t>
        </is>
      </c>
      <c r="J171" s="6" t="inlineStr">
        <is>
          <t>Yes - value computed</t>
        </is>
      </c>
      <c r="K171" s="7" t="inlineStr"/>
    </row>
    <row r="172" ht="58" customHeight="1">
      <c r="A172" s="5" t="n">
        <v>171</v>
      </c>
      <c r="B172" s="5" t="n">
        <v>25</v>
      </c>
      <c r="C172" s="5" t="inlineStr">
        <is>
          <t>GEN-01363</t>
        </is>
      </c>
      <c r="D172" s="5" t="inlineStr">
        <is>
          <t>GEN-01363-A01</t>
        </is>
      </c>
      <c r="E172" s="5" t="inlineStr">
        <is>
          <t>GEN-01363-G3</t>
        </is>
      </c>
      <c r="F172" s="5" t="inlineStr">
        <is>
          <t>Setup Step (Action) -- an error snackbar with no way forward is an announcement, not a recovery path. REF-197 already decided which categories can be retried.</t>
        </is>
      </c>
      <c r="G172" s="5" t="inlineStr">
        <is>
          <t>The retry action appears for every retryable category and for none of the others, and the duration lengthens when a decision is required</t>
        </is>
      </c>
      <c r="H172" s="5" t="inlineStr">
        <is>
          <t>WCAG contrast</t>
        </is>
      </c>
      <c r="I172" s="5" t="inlineStr">
        <is>
          <t>Active</t>
        </is>
      </c>
      <c r="J172" s="5" t="inlineStr">
        <is>
          <t>Yes - value computed</t>
        </is>
      </c>
      <c r="K172" s="7" t="inlineStr"/>
    </row>
    <row r="173" ht="58" customHeight="1">
      <c r="A173" s="6" t="n">
        <v>172</v>
      </c>
      <c r="B173" s="6" t="n">
        <v>25</v>
      </c>
      <c r="C173" s="6" t="inlineStr">
        <is>
          <t>GEN-01363</t>
        </is>
      </c>
      <c r="D173" s="6" t="inlineStr">
        <is>
          <t>GEN-01363-A01</t>
        </is>
      </c>
      <c r="E173" s="6" t="inlineStr">
        <is>
          <t>GEN-01363-G4</t>
        </is>
      </c>
      <c r="F173" s="6" t="inlineStr">
        <is>
          <t>Setup Step (Action): "...M3 error Snackbars." MD3 caps a snackbar at two lines; longer content belongs in a panel.</t>
        </is>
      </c>
      <c r="G173" s="6" t="inlineStr">
        <is>
          <t>The line cap is a token and the error colour pair clears the WCAG text floor in both schemes, so the snackbar inherits the audited contrast rather than asserting a new one</t>
        </is>
      </c>
      <c r="H173" s="6" t="inlineStr">
        <is>
          <t>WCAG contrast</t>
        </is>
      </c>
      <c r="I173" s="6" t="inlineStr">
        <is>
          <t>Active</t>
        </is>
      </c>
      <c r="J173" s="6" t="inlineStr">
        <is>
          <t>Yes - value computed</t>
        </is>
      </c>
      <c r="K173" s="7" t="inlineStr"/>
    </row>
    <row r="174" ht="58" customHeight="1">
      <c r="A174" s="5" t="n">
        <v>173</v>
      </c>
      <c r="B174" s="5" t="n">
        <v>25</v>
      </c>
      <c r="C174" s="5" t="inlineStr">
        <is>
          <t>GEN-01363</t>
        </is>
      </c>
      <c r="D174" s="5" t="inlineStr">
        <is>
          <t>GEN-01363-A01</t>
        </is>
      </c>
      <c r="E174" s="5" t="inlineStr">
        <is>
          <t>GEN-01363-G5</t>
        </is>
      </c>
      <c r="F174" s="5" t="inlineStr">
        <is>
          <t>Setup Step (Action): "Bind the client UI error boundaries to trigger M3 error Snackbars upon caught exceptions."</t>
        </is>
      </c>
      <c r="G174" s="5" t="inlineStr">
        <is>
          <t>A caught 500 with URL, IP, package path, stack frame and SQL reaches the user as the template sentence with a working retry, and none of those fragments appear on screen</t>
        </is>
      </c>
      <c r="H174" s="5" t="inlineStr">
        <is>
          <t>Widget / measured</t>
        </is>
      </c>
      <c r="I174" s="5" t="inlineStr">
        <is>
          <t>Active</t>
        </is>
      </c>
      <c r="J174" s="5" t="inlineStr">
        <is>
          <t>No - needs flutter test</t>
        </is>
      </c>
      <c r="K174" s="7" t="inlineStr"/>
    </row>
    <row r="175" ht="58" customHeight="1">
      <c r="A175" s="6" t="n">
        <v>174</v>
      </c>
      <c r="B175" s="6" t="n">
        <v>25</v>
      </c>
      <c r="C175" s="6" t="inlineStr">
        <is>
          <t>GEN-01363</t>
        </is>
      </c>
      <c r="D175" s="6" t="inlineStr">
        <is>
          <t>GEN-01363-A01</t>
        </is>
      </c>
      <c r="E175" s="6" t="inlineStr">
        <is>
          <t>GEN-01363-G6</t>
        </is>
      </c>
      <c r="F175" s="6" t="inlineStr">
        <is>
          <t>Setup Step (Action): "...M3 error Snackbars." + REF-197 Mobile-First UI Decision: "Include an explicit, easy-to-tap retry button within error notification areas" -- where retrying is a real option.</t>
        </is>
      </c>
      <c r="G175" s="6" t="inlineStr">
        <is>
          <t>The rendered snackbar uses the audited error-container colour and omits the retry control for a validation failure</t>
        </is>
      </c>
      <c r="H175" s="6" t="inlineStr">
        <is>
          <t>Widget / measured</t>
        </is>
      </c>
      <c r="I175" s="6" t="inlineStr">
        <is>
          <t>Active</t>
        </is>
      </c>
      <c r="J175" s="6" t="inlineStr">
        <is>
          <t>No - needs flutter test</t>
        </is>
      </c>
      <c r="K175" s="7" t="inlineStr"/>
    </row>
    <row r="176" ht="58" customHeight="1">
      <c r="A176" s="5" t="n">
        <v>175</v>
      </c>
      <c r="B176" s="5" t="n">
        <v>25</v>
      </c>
      <c r="C176" s="5" t="inlineStr">
        <is>
          <t>GEN-01363</t>
        </is>
      </c>
      <c r="D176" s="5" t="inlineStr">
        <is>
          <t>GEN-01363-A01</t>
        </is>
      </c>
      <c r="E176" s="5" t="inlineStr">
        <is>
          <t>GEN-01363-G7</t>
        </is>
      </c>
      <c r="F176" s="5" t="inlineStr">
        <is>
          <t>Setup Step (Action) -- "upon caught exceptions", plural. A burst of failures must not become a queue of stale snackbars the user has to dismiss one at a time.</t>
        </is>
      </c>
      <c r="G176" s="5" t="inlineStr">
        <is>
          <t>The most recent failure is the one on screen, and both are still recorded for diagnostics</t>
        </is>
      </c>
      <c r="H176" s="5" t="inlineStr">
        <is>
          <t>Widget / measured</t>
        </is>
      </c>
      <c r="I176" s="5" t="inlineStr">
        <is>
          <t>Active</t>
        </is>
      </c>
      <c r="J176" s="5" t="inlineStr">
        <is>
          <t>No - needs flutter test</t>
        </is>
      </c>
      <c r="K176" s="7" t="inlineStr"/>
    </row>
    <row r="177" ht="58" customHeight="1">
      <c r="A177" s="6" t="n">
        <v>176</v>
      </c>
      <c r="B177" s="6" t="n">
        <v>26</v>
      </c>
      <c r="C177" s="6" t="inlineStr">
        <is>
          <t>GEN-01848</t>
        </is>
      </c>
      <c r="D177" s="6" t="inlineStr">
        <is>
          <t>GEN-01848-A01</t>
        </is>
      </c>
      <c r="E177" s="6" t="inlineStr">
        <is>
          <t>GEN-01848-G1</t>
        </is>
      </c>
      <c r="F177" s="6" t="inlineStr">
        <is>
          <t>Setup Step (Action): "Implement visual progress indicators to show USER ADVANCEMENT." Advancement is a position in a sequence, so the value must be bounded and honest.</t>
        </is>
      </c>
      <c r="G177" s="6" t="inlineStr">
        <is>
          <t>Progress values are clamped into 0..1, so an out-of-range figure from a caller can never reach the screen</t>
        </is>
      </c>
      <c r="H177" s="6" t="inlineStr">
        <is>
          <t>Unit / logic</t>
        </is>
      </c>
      <c r="I177" s="6" t="inlineStr">
        <is>
          <t>Active</t>
        </is>
      </c>
      <c r="J177" s="6" t="inlineStr">
        <is>
          <t>Yes - value computed</t>
        </is>
      </c>
      <c r="K177" s="7" t="inlineStr"/>
    </row>
    <row r="178" ht="58" customHeight="1">
      <c r="A178" s="5" t="n">
        <v>177</v>
      </c>
      <c r="B178" s="5" t="n">
        <v>26</v>
      </c>
      <c r="C178" s="5" t="inlineStr">
        <is>
          <t>GEN-01848</t>
        </is>
      </c>
      <c r="D178" s="5" t="inlineStr">
        <is>
          <t>GEN-01848-A01</t>
        </is>
      </c>
      <c r="E178" s="5" t="inlineStr">
        <is>
          <t>GEN-01848-G2</t>
        </is>
      </c>
      <c r="F178" s="5" t="inlineStr">
        <is>
          <t>Setup Step (Action): "...to SHOW user advancement." A figure a screen reader cannot announce is not shown to everyone.</t>
        </is>
      </c>
      <c r="G178" s="5" t="inlineStr">
        <is>
          <t>A determinate indicator announces its position as a percentage, and an indeterminate one announces nothing false</t>
        </is>
      </c>
      <c r="H178" s="5" t="inlineStr">
        <is>
          <t>Unit / logic</t>
        </is>
      </c>
      <c r="I178" s="5" t="inlineStr">
        <is>
          <t>Active</t>
        </is>
      </c>
      <c r="J178" s="5" t="inlineStr">
        <is>
          <t>Yes - value computed</t>
        </is>
      </c>
      <c r="K178" s="7" t="inlineStr"/>
    </row>
    <row r="179" ht="58" customHeight="1">
      <c r="A179" s="6" t="n">
        <v>178</v>
      </c>
      <c r="B179" s="6" t="n">
        <v>26</v>
      </c>
      <c r="C179" s="6" t="inlineStr">
        <is>
          <t>GEN-01848</t>
        </is>
      </c>
      <c r="D179" s="6" t="inlineStr">
        <is>
          <t>GEN-01848-A01</t>
        </is>
      </c>
      <c r="E179" s="6" t="inlineStr">
        <is>
          <t>GEN-01848-G3</t>
        </is>
      </c>
      <c r="F179" s="6" t="inlineStr">
        <is>
          <t>BPTR-0422 reduced-motion policy, inherited: a looping animation is exactly what a motion-sensitive user asks to be spared.</t>
        </is>
      </c>
      <c r="G179" s="6" t="inlineStr">
        <is>
          <t>Step progress derives its fraction from the step position rather than accepting one, so the bar and the caption cannot disagree</t>
        </is>
      </c>
      <c r="H179" s="6" t="inlineStr">
        <is>
          <t>Unit / logic</t>
        </is>
      </c>
      <c r="I179" s="6" t="inlineStr">
        <is>
          <t>Active</t>
        </is>
      </c>
      <c r="J179" s="6" t="inlineStr">
        <is>
          <t>Yes - value computed</t>
        </is>
      </c>
      <c r="K179" s="7" t="inlineStr"/>
    </row>
    <row r="180" ht="58" customHeight="1">
      <c r="A180" s="5" t="n">
        <v>179</v>
      </c>
      <c r="B180" s="5" t="n">
        <v>26</v>
      </c>
      <c r="C180" s="5" t="inlineStr">
        <is>
          <t>GEN-01848</t>
        </is>
      </c>
      <c r="D180" s="5" t="inlineStr">
        <is>
          <t>GEN-01848-A01</t>
        </is>
      </c>
      <c r="E180" s="5" t="inlineStr">
        <is>
          <t>GEN-01848-G4</t>
        </is>
      </c>
      <c r="F180" s="5" t="inlineStr">
        <is>
          <t>RCGLA-001, inherited: every dimension is a token. + TTMCS-005 contrast policy: a track and its fill are a graphical object under WCAG 2.1 SC 1.4.11.</t>
        </is>
      </c>
      <c r="G180" s="5" t="inlineStr">
        <is>
          <t>The track dimensions come from the spacing ladder and the fill clears the 3:1 non-text contrast floor against its track in both schemes</t>
        </is>
      </c>
      <c r="H180" s="5" t="inlineStr">
        <is>
          <t>WCAG contrast</t>
        </is>
      </c>
      <c r="I180" s="5" t="inlineStr">
        <is>
          <t>Active</t>
        </is>
      </c>
      <c r="J180" s="5" t="inlineStr">
        <is>
          <t>Yes - value computed</t>
        </is>
      </c>
      <c r="K180" s="7" t="inlineStr"/>
    </row>
    <row r="181" ht="58" customHeight="1">
      <c r="A181" s="6" t="n">
        <v>180</v>
      </c>
      <c r="B181" s="6" t="n">
        <v>26</v>
      </c>
      <c r="C181" s="6" t="inlineStr">
        <is>
          <t>GEN-01848</t>
        </is>
      </c>
      <c r="D181" s="6" t="inlineStr">
        <is>
          <t>GEN-01848-A01</t>
        </is>
      </c>
      <c r="E181" s="6" t="inlineStr">
        <is>
          <t>GEN-01848-G5</t>
        </is>
      </c>
      <c r="F181" s="6" t="inlineStr">
        <is>
          <t>Setup Step (Action): "Implement visual progress indicators to show user advancement."</t>
        </is>
      </c>
      <c r="G181" s="6" t="inlineStr">
        <is>
          <t>The rendered bar carries the value, the token height, the scheme colours and a spoken percentage</t>
        </is>
      </c>
      <c r="H181" s="6" t="inlineStr">
        <is>
          <t>Widget / measured</t>
        </is>
      </c>
      <c r="I181" s="6" t="inlineStr">
        <is>
          <t>Active</t>
        </is>
      </c>
      <c r="J181" s="6" t="inlineStr">
        <is>
          <t>No - needs flutter test</t>
        </is>
      </c>
      <c r="K181" s="7" t="inlineStr"/>
    </row>
    <row r="182" ht="58" customHeight="1">
      <c r="A182" s="5" t="n">
        <v>181</v>
      </c>
      <c r="B182" s="5" t="n">
        <v>26</v>
      </c>
      <c r="C182" s="5" t="inlineStr">
        <is>
          <t>GEN-01848</t>
        </is>
      </c>
      <c r="D182" s="5" t="inlineStr">
        <is>
          <t>GEN-01848-A01</t>
        </is>
      </c>
      <c r="E182" s="5" t="inlineStr">
        <is>
          <t>GEN-01848-G6</t>
        </is>
      </c>
      <c r="F182" s="5" t="inlineStr">
        <is>
          <t>BPTR-0422 / REF-377 reduced-motion policy, applied to this component: "Respect reduced motion preferences."</t>
        </is>
      </c>
      <c r="G182" s="5" t="inlineStr">
        <is>
          <t>With MediaQuery.disableAnimations set, the indeterminate bar renders as a static track rather than a perpetual animation</t>
        </is>
      </c>
      <c r="H182" s="5" t="inlineStr">
        <is>
          <t>Widget / measured</t>
        </is>
      </c>
      <c r="I182" s="5" t="inlineStr">
        <is>
          <t>Active</t>
        </is>
      </c>
      <c r="J182" s="5" t="inlineStr">
        <is>
          <t>No - needs flutter test</t>
        </is>
      </c>
      <c r="K182" s="7" t="inlineStr"/>
    </row>
    <row r="183" ht="58" customHeight="1">
      <c r="A183" s="6" t="n">
        <v>182</v>
      </c>
      <c r="B183" s="6" t="n">
        <v>26</v>
      </c>
      <c r="C183" s="6" t="inlineStr">
        <is>
          <t>GEN-01848</t>
        </is>
      </c>
      <c r="D183" s="6" t="inlineStr">
        <is>
          <t>GEN-01848-A01</t>
        </is>
      </c>
      <c r="E183" s="6" t="inlineStr">
        <is>
          <t>GEN-01848-G7</t>
        </is>
      </c>
      <c r="F183" s="6" t="inlineStr">
        <is>
          <t>Setup Step (Action): "...show user advancement." Advancement through a known sequence is a position, and the caption and the bar are two views of the same number.</t>
        </is>
      </c>
      <c r="G183" s="6" t="inlineStr">
        <is>
          <t>Step 3 of 4 renders the caption and a bar at 0.75 -- one source of truth, two presentations</t>
        </is>
      </c>
      <c r="H183" s="6" t="inlineStr">
        <is>
          <t>Widget / measured</t>
        </is>
      </c>
      <c r="I183" s="6" t="inlineStr">
        <is>
          <t>Active</t>
        </is>
      </c>
      <c r="J183" s="6" t="inlineStr">
        <is>
          <t>No - needs flutter test</t>
        </is>
      </c>
      <c r="K183" s="7" t="inlineStr"/>
    </row>
    <row r="184" ht="58" customHeight="1">
      <c r="A184" s="5" t="n">
        <v>183</v>
      </c>
      <c r="B184" s="5" t="n">
        <v>27</v>
      </c>
      <c r="C184" s="5" t="inlineStr">
        <is>
          <t>GEN-01297</t>
        </is>
      </c>
      <c r="D184" s="5" t="inlineStr">
        <is>
          <t>GEN-01297-A01</t>
        </is>
      </c>
      <c r="E184" s="5" t="inlineStr">
        <is>
          <t>GEN-01297-G1</t>
        </is>
      </c>
      <c r="F184" s="5" t="inlineStr">
        <is>
          <t>Setup Step (Action): "Implement an empty state container ... to display when search queries return no results."</t>
        </is>
      </c>
      <c r="G184" s="5" t="inlineStr">
        <is>
          <t>Every empty reason has copy, and the no-results case the step names is one of them -- an unmapped reason cannot be constructed</t>
        </is>
      </c>
      <c r="H184" s="5" t="inlineStr">
        <is>
          <t>Unit / logic</t>
        </is>
      </c>
      <c r="I184" s="5" t="inlineStr">
        <is>
          <t>Active</t>
        </is>
      </c>
      <c r="J184" s="5" t="inlineStr">
        <is>
          <t>Yes - value computed</t>
        </is>
      </c>
      <c r="K184" s="7" t="inlineStr"/>
    </row>
    <row r="185" ht="58" customHeight="1">
      <c r="A185" s="6" t="n">
        <v>184</v>
      </c>
      <c r="B185" s="6" t="n">
        <v>27</v>
      </c>
      <c r="C185" s="6" t="inlineStr">
        <is>
          <t>GEN-01297</t>
        </is>
      </c>
      <c r="D185" s="6" t="inlineStr">
        <is>
          <t>GEN-01297-A01</t>
        </is>
      </c>
      <c r="E185" s="6" t="inlineStr">
        <is>
          <t>GEN-01297-G2</t>
        </is>
      </c>
      <c r="F185" s="6" t="inlineStr">
        <is>
          <t>Setup Step (Action): "...with CUSTOM ILLUSTRATIONS." The illustration is what distinguishes one empty state from another at a glance.</t>
        </is>
      </c>
      <c r="G185" s="6" t="inlineStr">
        <is>
          <t>Each reason carries its own illustration -- no two reasons share an icon</t>
        </is>
      </c>
      <c r="H185" s="6" t="inlineStr">
        <is>
          <t>WCAG contrast</t>
        </is>
      </c>
      <c r="I185" s="6" t="inlineStr">
        <is>
          <t>Active</t>
        </is>
      </c>
      <c r="J185" s="6" t="inlineStr">
        <is>
          <t>Yes - value computed</t>
        </is>
      </c>
      <c r="K185" s="7" t="inlineStr"/>
    </row>
    <row r="186" ht="58" customHeight="1">
      <c r="A186" s="5" t="n">
        <v>185</v>
      </c>
      <c r="B186" s="5" t="n">
        <v>27</v>
      </c>
      <c r="C186" s="5" t="inlineStr">
        <is>
          <t>GEN-01297</t>
        </is>
      </c>
      <c r="D186" s="5" t="inlineStr">
        <is>
          <t>GEN-01297-A01</t>
        </is>
      </c>
      <c r="E186" s="5" t="inlineStr">
        <is>
          <t>GEN-01297-G3</t>
        </is>
      </c>
      <c r="F186" s="5" t="inlineStr">
        <is>
          <t>REF-197 Mobile-First UX Decision, inherited: "Ensure error text displays do not use technical code terms, keeping descriptions simple and clear."</t>
        </is>
      </c>
      <c r="G186" s="5" t="inlineStr">
        <is>
          <t>No empty-state copy contains a word from the banned-jargon list -- an empty state that says "null result set" is an error message in disguise</t>
        </is>
      </c>
      <c r="H186" s="5" t="inlineStr">
        <is>
          <t>Unit / logic</t>
        </is>
      </c>
      <c r="I186" s="5" t="inlineStr">
        <is>
          <t>Active</t>
        </is>
      </c>
      <c r="J186" s="5" t="inlineStr">
        <is>
          <t>Yes - value computed</t>
        </is>
      </c>
      <c r="K186" s="7" t="inlineStr"/>
    </row>
    <row r="187" ht="58" customHeight="1">
      <c r="A187" s="6" t="n">
        <v>186</v>
      </c>
      <c r="B187" s="6" t="n">
        <v>27</v>
      </c>
      <c r="C187" s="6" t="inlineStr">
        <is>
          <t>GEN-01297</t>
        </is>
      </c>
      <c r="D187" s="6" t="inlineStr">
        <is>
          <t>GEN-01297-A01</t>
        </is>
      </c>
      <c r="E187" s="6" t="inlineStr">
        <is>
          <t>GEN-01297-G4</t>
        </is>
      </c>
      <c r="F187" s="6" t="inlineStr">
        <is>
          <t>Setup Step (Action) -- "no results" is a specific claim. Telling a user there is nothing when the fetch failed is a false one.</t>
        </is>
      </c>
      <c r="G187" s="6" t="inlineStr">
        <is>
          <t>Unavailable is a distinct reason from empty, with distinct copy and a retry action, so the two can never be shown interchangeably</t>
        </is>
      </c>
      <c r="H187" s="6" t="inlineStr">
        <is>
          <t>Unit / logic</t>
        </is>
      </c>
      <c r="I187" s="6" t="inlineStr">
        <is>
          <t>Active</t>
        </is>
      </c>
      <c r="J187" s="6" t="inlineStr">
        <is>
          <t>Yes - value computed</t>
        </is>
      </c>
      <c r="K187" s="7" t="inlineStr"/>
    </row>
    <row r="188" ht="58" customHeight="1">
      <c r="A188" s="5" t="n">
        <v>187</v>
      </c>
      <c r="B188" s="5" t="n">
        <v>27</v>
      </c>
      <c r="C188" s="5" t="inlineStr">
        <is>
          <t>GEN-01297</t>
        </is>
      </c>
      <c r="D188" s="5" t="inlineStr">
        <is>
          <t>GEN-01297-A01</t>
        </is>
      </c>
      <c r="E188" s="5" t="inlineStr">
        <is>
          <t>GEN-01297-G5</t>
        </is>
      </c>
      <c r="F188" s="5" t="inlineStr">
        <is>
          <t>Setup Step (Action): "Implement an empty state container with custom illustrations to display when search queries return no results."</t>
        </is>
      </c>
      <c r="G188" s="5" t="inlineStr">
        <is>
          <t>The no-results state renders its own illustration, headline and body, and its action is wired</t>
        </is>
      </c>
      <c r="H188" s="5" t="inlineStr">
        <is>
          <t>WCAG contrast</t>
        </is>
      </c>
      <c r="I188" s="5" t="inlineStr">
        <is>
          <t>Active</t>
        </is>
      </c>
      <c r="J188" s="5" t="inlineStr">
        <is>
          <t>No - needs flutter test</t>
        </is>
      </c>
      <c r="K188" s="7" t="inlineStr"/>
    </row>
    <row r="189" ht="58" customHeight="1">
      <c r="A189" s="6" t="n">
        <v>188</v>
      </c>
      <c r="B189" s="6" t="n">
        <v>27</v>
      </c>
      <c r="C189" s="6" t="inlineStr">
        <is>
          <t>GEN-01297</t>
        </is>
      </c>
      <c r="D189" s="6" t="inlineStr">
        <is>
          <t>GEN-01297-A01</t>
        </is>
      </c>
      <c r="E189" s="6" t="inlineStr">
        <is>
          <t>GEN-01297-G6</t>
        </is>
      </c>
      <c r="F189" s="6" t="inlineStr">
        <is>
          <t>Setup Step (Action) -- an empty state with a button that does nothing is worse than one with no button. + RCGLA-032 reading width, inherited.</t>
        </is>
      </c>
      <c r="G189" s="6" t="inlineStr">
        <is>
          <t>The nothing-yet state renders without an action control and inside the readable content width</t>
        </is>
      </c>
      <c r="H189" s="6" t="inlineStr">
        <is>
          <t>Widget / measured</t>
        </is>
      </c>
      <c r="I189" s="6" t="inlineStr">
        <is>
          <t>Active</t>
        </is>
      </c>
      <c r="J189" s="6" t="inlineStr">
        <is>
          <t>No - needs flutter test</t>
        </is>
      </c>
      <c r="K189" s="7" t="inlineStr"/>
    </row>
    <row r="190" ht="58" customHeight="1">
      <c r="A190" s="5" t="n">
        <v>189</v>
      </c>
      <c r="B190" s="5" t="n">
        <v>28</v>
      </c>
      <c r="C190" s="5" t="inlineStr">
        <is>
          <t>GEN-01275</t>
        </is>
      </c>
      <c r="D190" s="5" t="inlineStr">
        <is>
          <t>GEN-01275-A01</t>
        </is>
      </c>
      <c r="E190" s="5" t="inlineStr">
        <is>
          <t>GEN-01275-G1</t>
        </is>
      </c>
      <c r="F190" s="5" t="inlineStr">
        <is>
          <t>Setup Step (Action): "Embed M3 status Badges to mark COMPLETED and ACTIVE milestone nodes."</t>
        </is>
      </c>
      <c r="G190" s="5" t="inlineStr">
        <is>
          <t>The status vocabulary covers the two states the step names and the three a real sequence also needs, each with a label, an icon and a colour role</t>
        </is>
      </c>
      <c r="H190" s="5" t="inlineStr">
        <is>
          <t>Unit / logic</t>
        </is>
      </c>
      <c r="I190" s="5" t="inlineStr">
        <is>
          <t>Active</t>
        </is>
      </c>
      <c r="J190" s="5" t="inlineStr">
        <is>
          <t>Yes - value computed</t>
        </is>
      </c>
      <c r="K190" s="7" t="inlineStr"/>
    </row>
    <row r="191" ht="58" customHeight="1">
      <c r="A191" s="6" t="n">
        <v>190</v>
      </c>
      <c r="B191" s="6" t="n">
        <v>28</v>
      </c>
      <c r="C191" s="6" t="inlineStr">
        <is>
          <t>GEN-01275</t>
        </is>
      </c>
      <c r="D191" s="6" t="inlineStr">
        <is>
          <t>GEN-01275-A01</t>
        </is>
      </c>
      <c r="E191" s="6" t="inlineStr">
        <is>
          <t>GEN-01275-G2</t>
        </is>
      </c>
      <c r="F191" s="6" t="inlineStr">
        <is>
          <t>WCAG 2.1 SC 1.4.1 (Use of Colour), which TTMCS-005 already made this codebase accountable to: colour may not be the only visual means of conveying information.</t>
        </is>
      </c>
      <c r="G191" s="6" t="inlineStr">
        <is>
          <t>No two statuses share an icon and no two share a label, so status survives greyscale, colour-blindness and a screen reader</t>
        </is>
      </c>
      <c r="H191" s="6" t="inlineStr">
        <is>
          <t>Unit / logic</t>
        </is>
      </c>
      <c r="I191" s="6" t="inlineStr">
        <is>
          <t>Active</t>
        </is>
      </c>
      <c r="J191" s="6" t="inlineStr">
        <is>
          <t>Yes - value computed</t>
        </is>
      </c>
      <c r="K191" s="7" t="inlineStr"/>
    </row>
    <row r="192" ht="58" customHeight="1">
      <c r="A192" s="5" t="n">
        <v>191</v>
      </c>
      <c r="B192" s="5" t="n">
        <v>28</v>
      </c>
      <c r="C192" s="5" t="inlineStr">
        <is>
          <t>GEN-01275</t>
        </is>
      </c>
      <c r="D192" s="5" t="inlineStr">
        <is>
          <t>GEN-01275-A01</t>
        </is>
      </c>
      <c r="E192" s="5" t="inlineStr">
        <is>
          <t>GEN-01275-G3</t>
        </is>
      </c>
      <c r="F192" s="5" t="inlineStr">
        <is>
          <t>TTMCS-005 contrast policy, inherited: every foreground/background pair the app paints is audited.</t>
        </is>
      </c>
      <c r="G192" s="5" t="inlineStr">
        <is>
          <t>Every status role clears the 4.5:1 text floor in both schemes, and each reaches the 7:1 AAA target</t>
        </is>
      </c>
      <c r="H192" s="5" t="inlineStr">
        <is>
          <t>WCAG contrast</t>
        </is>
      </c>
      <c r="I192" s="5" t="inlineStr">
        <is>
          <t>Active</t>
        </is>
      </c>
      <c r="J192" s="5" t="inlineStr">
        <is>
          <t>Yes - value computed</t>
        </is>
      </c>
      <c r="K192" s="7" t="inlineStr"/>
    </row>
    <row r="193" ht="58" customHeight="1">
      <c r="A193" s="6" t="n">
        <v>192</v>
      </c>
      <c r="B193" s="6" t="n">
        <v>28</v>
      </c>
      <c r="C193" s="6" t="inlineStr">
        <is>
          <t>GEN-01275</t>
        </is>
      </c>
      <c r="D193" s="6" t="inlineStr">
        <is>
          <t>GEN-01275-A01</t>
        </is>
      </c>
      <c r="E193" s="6" t="inlineStr">
        <is>
          <t>GEN-01275-G4</t>
        </is>
      </c>
      <c r="F193" s="6" t="inlineStr">
        <is>
          <t>Setup Step (Action) -- "status Badges" plural, across surfaces. One vocabulary, or a node reads Active while the message that produced it said In review.</t>
        </is>
      </c>
      <c r="G193" s="6" t="inlineStr">
        <is>
          <t>Each status maps to exactly one colour role, and distinct statuses do not collapse onto the same role</t>
        </is>
      </c>
      <c r="H193" s="6" t="inlineStr">
        <is>
          <t>Unit / logic</t>
        </is>
      </c>
      <c r="I193" s="6" t="inlineStr">
        <is>
          <t>Active</t>
        </is>
      </c>
      <c r="J193" s="6" t="inlineStr">
        <is>
          <t>Yes - value computed</t>
        </is>
      </c>
      <c r="K193" s="7" t="inlineStr"/>
    </row>
    <row r="194" ht="58" customHeight="1">
      <c r="A194" s="5" t="n">
        <v>193</v>
      </c>
      <c r="B194" s="5" t="n">
        <v>28</v>
      </c>
      <c r="C194" s="5" t="inlineStr">
        <is>
          <t>GEN-01275</t>
        </is>
      </c>
      <c r="D194" s="5" t="inlineStr">
        <is>
          <t>GEN-01275-A01</t>
        </is>
      </c>
      <c r="E194" s="5" t="inlineStr">
        <is>
          <t>GEN-01275-G5</t>
        </is>
      </c>
      <c r="F194" s="5" t="inlineStr">
        <is>
          <t>Setup Step (Action): "Embed M3 status Badges..." + WCAG 2.1 SC 1.4.1.</t>
        </is>
      </c>
      <c r="G194" s="5" t="inlineStr">
        <is>
          <t>The rendered badge carries both the icon and the text label, so the status is legible without colour</t>
        </is>
      </c>
      <c r="H194" s="5" t="inlineStr">
        <is>
          <t>Widget / measured</t>
        </is>
      </c>
      <c r="I194" s="5" t="inlineStr">
        <is>
          <t>Active</t>
        </is>
      </c>
      <c r="J194" s="5" t="inlineStr">
        <is>
          <t>No - needs flutter test</t>
        </is>
      </c>
      <c r="K194" s="7" t="inlineStr"/>
    </row>
    <row r="195" ht="58" customHeight="1">
      <c r="A195" s="6" t="n">
        <v>194</v>
      </c>
      <c r="B195" s="6" t="n">
        <v>28</v>
      </c>
      <c r="C195" s="6" t="inlineStr">
        <is>
          <t>GEN-01275</t>
        </is>
      </c>
      <c r="D195" s="6" t="inlineStr">
        <is>
          <t>GEN-01275-A01</t>
        </is>
      </c>
      <c r="E195" s="6" t="inlineStr">
        <is>
          <t>GEN-01275-G6</t>
        </is>
      </c>
      <c r="F195" s="6" t="inlineStr">
        <is>
          <t>Setup Step (Action): "...to mark completed and active MILESTONE NODES." + Metric: Real-Time Status Update Latency.</t>
        </is>
      </c>
      <c r="G195" s="6" t="inlineStr">
        <is>
          <t>A milestone node reflects a status change on the very next frame and announces title and status as a single phrase</t>
        </is>
      </c>
      <c r="H195" s="6" t="inlineStr">
        <is>
          <t>Widget / measured</t>
        </is>
      </c>
      <c r="I195" s="6" t="inlineStr">
        <is>
          <t>Active</t>
        </is>
      </c>
      <c r="J195" s="6" t="inlineStr">
        <is>
          <t>No - needs flutter test</t>
        </is>
      </c>
      <c r="K195" s="7" t="inlineStr"/>
    </row>
    <row r="196" ht="58" customHeight="1">
      <c r="A196" s="5" t="n">
        <v>195</v>
      </c>
      <c r="B196" s="5" t="n">
        <v>29</v>
      </c>
      <c r="C196" s="5" t="inlineStr">
        <is>
          <t>GEN-01452</t>
        </is>
      </c>
      <c r="D196" s="5" t="inlineStr">
        <is>
          <t>GEN-01452-A01</t>
        </is>
      </c>
      <c r="E196" s="5" t="inlineStr">
        <is>
          <t>GEN-01452-G1</t>
        </is>
      </c>
      <c r="F196" s="5" t="inlineStr">
        <is>
          <t>Setup Step (Action): "Construct the card UI chassis using M3 OUTLINED or ELEVATED Card specifications."</t>
        </is>
      </c>
      <c r="G196" s="5" t="inlineStr">
        <is>
          <t>Both named variants exist, plus the filled default, and every variant has a defined elevation level and border decision</t>
        </is>
      </c>
      <c r="H196" s="5" t="inlineStr">
        <is>
          <t>Unit / logic</t>
        </is>
      </c>
      <c r="I196" s="5" t="inlineStr">
        <is>
          <t>Active</t>
        </is>
      </c>
      <c r="J196" s="5" t="inlineStr">
        <is>
          <t>Yes - value computed</t>
        </is>
      </c>
      <c r="K196" s="7" t="inlineStr"/>
    </row>
    <row r="197" ht="58" customHeight="1">
      <c r="A197" s="6" t="n">
        <v>196</v>
      </c>
      <c r="B197" s="6" t="n">
        <v>29</v>
      </c>
      <c r="C197" s="6" t="inlineStr">
        <is>
          <t>GEN-01452</t>
        </is>
      </c>
      <c r="D197" s="6" t="inlineStr">
        <is>
          <t>GEN-01452-A01</t>
        </is>
      </c>
      <c r="E197" s="6" t="inlineStr">
        <is>
          <t>GEN-01452-G2</t>
        </is>
      </c>
      <c r="F197" s="6" t="inlineStr">
        <is>
          <t>MD3 card specification: a card is bounded by a shadow OR a border. Both at once is redundancy, not emphasis -- and on a dense list it is the difference between scannable and busy.</t>
        </is>
      </c>
      <c r="G197" s="6" t="inlineStr">
        <is>
          <t>No variant carries both a border and an elevation, and the outlined variant is the flat one</t>
        </is>
      </c>
      <c r="H197" s="6" t="inlineStr">
        <is>
          <t>Unit / logic</t>
        </is>
      </c>
      <c r="I197" s="6" t="inlineStr">
        <is>
          <t>Active</t>
        </is>
      </c>
      <c r="J197" s="6" t="inlineStr">
        <is>
          <t>Yes - value computed</t>
        </is>
      </c>
      <c r="K197" s="7" t="inlineStr"/>
    </row>
    <row r="198" ht="58" customHeight="1">
      <c r="A198" s="5" t="n">
        <v>197</v>
      </c>
      <c r="B198" s="5" t="n">
        <v>29</v>
      </c>
      <c r="C198" s="5" t="inlineStr">
        <is>
          <t>GEN-01452</t>
        </is>
      </c>
      <c r="D198" s="5" t="inlineStr">
        <is>
          <t>GEN-01452-A01</t>
        </is>
      </c>
      <c r="E198" s="5" t="inlineStr">
        <is>
          <t>GEN-01452-G3</t>
        </is>
      </c>
      <c r="F198" s="5" t="inlineStr">
        <is>
          <t>RCGLA-001, inherited: every dimension is a token, mirrored from tokens.json.</t>
        </is>
      </c>
      <c r="G198" s="5" t="inlineStr">
        <is>
          <t>The chassis radius, padding and border width are all members of the existing ladders -- the card introduces no geometry of its own</t>
        </is>
      </c>
      <c r="H198" s="5" t="inlineStr">
        <is>
          <t>Token drift</t>
        </is>
      </c>
      <c r="I198" s="5" t="inlineStr">
        <is>
          <t>Active</t>
        </is>
      </c>
      <c r="J198" s="5" t="inlineStr">
        <is>
          <t>Yes - value computed</t>
        </is>
      </c>
      <c r="K198" s="7" t="inlineStr"/>
    </row>
    <row r="199" ht="58" customHeight="1">
      <c r="A199" s="6" t="n">
        <v>198</v>
      </c>
      <c r="B199" s="6" t="n">
        <v>29</v>
      </c>
      <c r="C199" s="6" t="inlineStr">
        <is>
          <t>GEN-01452</t>
        </is>
      </c>
      <c r="D199" s="6" t="inlineStr">
        <is>
          <t>GEN-01452-A01</t>
        </is>
      </c>
      <c r="E199" s="6" t="inlineStr">
        <is>
          <t>GEN-01452-G4</t>
        </is>
      </c>
      <c r="F199" s="6" t="inlineStr">
        <is>
          <t>BPTR-0128 build budget, inherited: "component build methods stay under 20 lines" -- a chassis that grows past that has stopped being a chassis.</t>
        </is>
      </c>
      <c r="G199" s="6" t="inlineStr">
        <is>
          <t>Every build method in the chassis file is at most 20 lines long</t>
        </is>
      </c>
      <c r="H199" s="6" t="inlineStr">
        <is>
          <t>Static scan</t>
        </is>
      </c>
      <c r="I199" s="6" t="inlineStr">
        <is>
          <t>Active</t>
        </is>
      </c>
      <c r="J199" s="6" t="inlineStr">
        <is>
          <t>Yes - value computed</t>
        </is>
      </c>
      <c r="K199" s="7" t="inlineStr"/>
    </row>
    <row r="200" ht="58" customHeight="1">
      <c r="A200" s="5" t="n">
        <v>199</v>
      </c>
      <c r="B200" s="5" t="n">
        <v>29</v>
      </c>
      <c r="C200" s="5" t="inlineStr">
        <is>
          <t>GEN-01452</t>
        </is>
      </c>
      <c r="D200" s="5" t="inlineStr">
        <is>
          <t>GEN-01452-A01</t>
        </is>
      </c>
      <c r="E200" s="5" t="inlineStr">
        <is>
          <t>GEN-01452-G5</t>
        </is>
      </c>
      <c r="F200" s="5" t="inlineStr">
        <is>
          <t>Setup Step (Action): "...using M3 OUTLINED ... Card specifications."</t>
        </is>
      </c>
      <c r="G200" s="5" t="inlineStr">
        <is>
          <t>The outlined card renders a 1dp outline-variant border, the token corner radius and no shadow</t>
        </is>
      </c>
      <c r="H200" s="5" t="inlineStr">
        <is>
          <t>Widget / measured</t>
        </is>
      </c>
      <c r="I200" s="5" t="inlineStr">
        <is>
          <t>Active</t>
        </is>
      </c>
      <c r="J200" s="5" t="inlineStr">
        <is>
          <t>No - needs flutter test</t>
        </is>
      </c>
      <c r="K200" s="7" t="inlineStr"/>
    </row>
    <row r="201" ht="58" customHeight="1">
      <c r="A201" s="6" t="n">
        <v>200</v>
      </c>
      <c r="B201" s="6" t="n">
        <v>29</v>
      </c>
      <c r="C201" s="6" t="inlineStr">
        <is>
          <t>GEN-01452</t>
        </is>
      </c>
      <c r="D201" s="6" t="inlineStr">
        <is>
          <t>GEN-01452-A01</t>
        </is>
      </c>
      <c r="E201" s="6" t="inlineStr">
        <is>
          <t>GEN-01452-G6</t>
        </is>
      </c>
      <c r="F201" s="6" t="inlineStr">
        <is>
          <t>Setup Step (Action): "...or ELEVATED Card specifications." + TTMAC-011, inherited: an interactive surface is one target.</t>
        </is>
      </c>
      <c r="G201" s="6" t="inlineStr">
        <is>
          <t>The elevated card lifts to level 1 with no border, and a tappable card exposes a single ink well covering the whole surface</t>
        </is>
      </c>
      <c r="H201" s="6" t="inlineStr">
        <is>
          <t>Unit / logic</t>
        </is>
      </c>
      <c r="I201" s="6" t="inlineStr">
        <is>
          <t>Active</t>
        </is>
      </c>
      <c r="J201" s="6" t="inlineStr">
        <is>
          <t>No - needs flutter test</t>
        </is>
      </c>
      <c r="K201" s="7" t="inlineStr"/>
    </row>
    <row r="202" ht="58" customHeight="1">
      <c r="A202" s="5" t="n">
        <v>201</v>
      </c>
      <c r="B202" s="5" t="n">
        <v>29</v>
      </c>
      <c r="C202" s="5" t="inlineStr">
        <is>
          <t>GEN-01452</t>
        </is>
      </c>
      <c r="D202" s="5" t="inlineStr">
        <is>
          <t>GEN-01452-A01</t>
        </is>
      </c>
      <c r="E202" s="5" t="inlineStr">
        <is>
          <t>GEN-01452-G7</t>
        </is>
      </c>
      <c r="F202" s="5" t="inlineStr">
        <is>
          <t>RCGLA-018, inherited: the master scaffold exposes no padding parameter -- spacing comes from tokens or it does not exist. The chassis follows the same rule.</t>
        </is>
      </c>
      <c r="G202" s="5" t="inlineStr">
        <is>
          <t>The rendered card applies the token content padding, with no caller-supplied override available</t>
        </is>
      </c>
      <c r="H202" s="5" t="inlineStr">
        <is>
          <t>Widget / measured</t>
        </is>
      </c>
      <c r="I202" s="5" t="inlineStr">
        <is>
          <t>Active</t>
        </is>
      </c>
      <c r="J202" s="5" t="inlineStr">
        <is>
          <t>No - needs flutter test</t>
        </is>
      </c>
      <c r="K202" s="7" t="inlineStr"/>
    </row>
    <row r="203" ht="58" customHeight="1">
      <c r="A203" s="6" t="n">
        <v>202</v>
      </c>
      <c r="B203" s="6" t="n">
        <v>30</v>
      </c>
      <c r="C203" s="6" t="inlineStr">
        <is>
          <t>GEN-00201</t>
        </is>
      </c>
      <c r="D203" s="6" t="inlineStr">
        <is>
          <t>GEN-00201-A01</t>
        </is>
      </c>
      <c r="E203" s="6" t="inlineStr">
        <is>
          <t>GEN-00201-G1</t>
        </is>
      </c>
      <c r="F203" s="6" t="inlineStr">
        <is>
          <t>Setup Step (Action): "Use MATERIAL DESIGN 3 shared axis transitions." MD3 defines three axes -- X for siblings, Y for hierarchy, Z for depth.</t>
        </is>
      </c>
      <c r="G203" s="6" t="inlineStr">
        <is>
          <t>All three axes exist and each produces a distinct transform, so the transition still carries the relationship it is supposed to encode</t>
        </is>
      </c>
      <c r="H203" s="6" t="inlineStr">
        <is>
          <t>Unit / logic</t>
        </is>
      </c>
      <c r="I203" s="6" t="inlineStr">
        <is>
          <t>Active</t>
        </is>
      </c>
      <c r="J203" s="6" t="inlineStr">
        <is>
          <t>Yes - value computed</t>
        </is>
      </c>
      <c r="K203" s="7" t="inlineStr"/>
    </row>
    <row r="204" ht="58" customHeight="1">
      <c r="A204" s="5" t="n">
        <v>203</v>
      </c>
      <c r="B204" s="5" t="n">
        <v>30</v>
      </c>
      <c r="C204" s="5" t="inlineStr">
        <is>
          <t>GEN-00201</t>
        </is>
      </c>
      <c r="D204" s="5" t="inlineStr">
        <is>
          <t>GEN-00201-A01</t>
        </is>
      </c>
      <c r="E204" s="5" t="inlineStr">
        <is>
          <t>GEN-00201-G2</t>
        </is>
      </c>
      <c r="F204" s="5" t="inlineStr">
        <is>
          <t>MD3 shared axis specification: fade-through, not cross-fade. The outgoing content leaves over the first 30% and the incoming content arrives over the remaining 70%.</t>
        </is>
      </c>
      <c r="G204" s="5" t="inlineStr">
        <is>
          <t>The two fade windows are disjoint -- at no point are both halves partly visible, which is what stops the double-ghost of a cross-fade</t>
        </is>
      </c>
      <c r="H204" s="5" t="inlineStr">
        <is>
          <t>Unit / logic</t>
        </is>
      </c>
      <c r="I204" s="5" t="inlineStr">
        <is>
          <t>Active</t>
        </is>
      </c>
      <c r="J204" s="5" t="inlineStr">
        <is>
          <t>Yes - value computed</t>
        </is>
      </c>
      <c r="K204" s="7" t="inlineStr"/>
    </row>
    <row r="205" ht="58" customHeight="1">
      <c r="A205" s="6" t="n">
        <v>204</v>
      </c>
      <c r="B205" s="6" t="n">
        <v>30</v>
      </c>
      <c r="C205" s="6" t="inlineStr">
        <is>
          <t>GEN-00201</t>
        </is>
      </c>
      <c r="D205" s="6" t="inlineStr">
        <is>
          <t>GEN-00201-A01</t>
        </is>
      </c>
      <c r="E205" s="6" t="inlineStr">
        <is>
          <t>GEN-00201-G3</t>
        </is>
      </c>
      <c r="F205" s="6" t="inlineStr">
        <is>
          <t>BPTR-0422, inherited: "each motion role has its own curve rather than one curve reused everywhere" + the shared duration ladder.</t>
        </is>
      </c>
      <c r="G205" s="6" t="inlineStr">
        <is>
          <t>The transition runs on a rung of the shared duration ladder and its two curves are registered, distinct motion tokens</t>
        </is>
      </c>
      <c r="H205" s="6" t="inlineStr">
        <is>
          <t>WCAG contrast</t>
        </is>
      </c>
      <c r="I205" s="6" t="inlineStr">
        <is>
          <t>Active</t>
        </is>
      </c>
      <c r="J205" s="6" t="inlineStr">
        <is>
          <t>Yes - value computed</t>
        </is>
      </c>
      <c r="K205" s="7" t="inlineStr"/>
    </row>
    <row r="206" ht="58" customHeight="1">
      <c r="A206" s="5" t="n">
        <v>205</v>
      </c>
      <c r="B206" s="5" t="n">
        <v>30</v>
      </c>
      <c r="C206" s="5" t="inlineStr">
        <is>
          <t>GEN-00201</t>
        </is>
      </c>
      <c r="D206" s="5" t="inlineStr">
        <is>
          <t>GEN-00201-A01</t>
        </is>
      </c>
      <c r="E206" s="5" t="inlineStr">
        <is>
          <t>GEN-00201-G4</t>
        </is>
      </c>
      <c r="F206" s="5" t="inlineStr">
        <is>
          <t>Setup Step (Action): "Use Material Design 3 shared axis transitions for mobile VIEW STATE CHANGES."</t>
        </is>
      </c>
      <c r="G206" s="5" t="inlineStr">
        <is>
          <t>A view state change animates through the shared axis and settles with only the new view in the tree</t>
        </is>
      </c>
      <c r="H206" s="5" t="inlineStr">
        <is>
          <t>Widget / measured</t>
        </is>
      </c>
      <c r="I206" s="5" t="inlineStr">
        <is>
          <t>Active</t>
        </is>
      </c>
      <c r="J206" s="5" t="inlineStr">
        <is>
          <t>No - needs flutter test</t>
        </is>
      </c>
      <c r="K206" s="7" t="inlineStr"/>
    </row>
    <row r="207" ht="58" customHeight="1">
      <c r="A207" s="6" t="n">
        <v>206</v>
      </c>
      <c r="B207" s="6" t="n">
        <v>30</v>
      </c>
      <c r="C207" s="6" t="inlineStr">
        <is>
          <t>GEN-00201</t>
        </is>
      </c>
      <c r="D207" s="6" t="inlineStr">
        <is>
          <t>GEN-00201-A01</t>
        </is>
      </c>
      <c r="E207" s="6" t="inlineStr">
        <is>
          <t>GEN-00201-G5</t>
        </is>
      </c>
      <c r="F207" s="6" t="inlineStr">
        <is>
          <t>REF-377 substep 4, inherited: "respect reduced motion preferences" -- every design-system animation routes through HabotMotionPolicy.</t>
        </is>
      </c>
      <c r="G207" s="6" t="inlineStr">
        <is>
          <t>With MediaQuery.disableAnimations set, the shared-axis duration resolves to zero</t>
        </is>
      </c>
      <c r="H207" s="6" t="inlineStr">
        <is>
          <t>WCAG contrast</t>
        </is>
      </c>
      <c r="I207" s="6" t="inlineStr">
        <is>
          <t>Active</t>
        </is>
      </c>
      <c r="J207" s="6" t="inlineStr">
        <is>
          <t>No - needs flutter test</t>
        </is>
      </c>
      <c r="K207" s="7" t="inlineStr"/>
    </row>
    <row r="208" ht="58" customHeight="1">
      <c r="A208" s="5" t="n">
        <v>207</v>
      </c>
      <c r="B208" s="5" t="n">
        <v>30</v>
      </c>
      <c r="C208" s="5" t="inlineStr">
        <is>
          <t>GEN-00201</t>
        </is>
      </c>
      <c r="D208" s="5" t="inlineStr">
        <is>
          <t>GEN-00201-A01</t>
        </is>
      </c>
      <c r="E208" s="5" t="inlineStr">
        <is>
          <t>GEN-00201-G6</t>
        </is>
      </c>
      <c r="F208" s="5" t="inlineStr">
        <is>
          <t>MD3 shared axis specification: the axis IS the information. X means sibling, Y means hierarchy, Z means depth -- three axes that render identically carry nothing.</t>
        </is>
      </c>
      <c r="G208" s="5" t="inlineStr">
        <is>
          <t>At the start of the transition the horizontal, vertical and scaled axes each place the content differently</t>
        </is>
      </c>
      <c r="H208" s="5" t="inlineStr">
        <is>
          <t>Unit / logic</t>
        </is>
      </c>
      <c r="I208" s="5" t="inlineStr">
        <is>
          <t>Active</t>
        </is>
      </c>
      <c r="J208" s="5" t="inlineStr">
        <is>
          <t>No - needs flutter test</t>
        </is>
      </c>
      <c r="K208" s="7" t="inlineStr"/>
    </row>
    <row r="209" ht="58" customHeight="1">
      <c r="A209" s="6" t="n">
        <v>208</v>
      </c>
      <c r="B209" s="6" t="n">
        <v>31</v>
      </c>
      <c r="C209" s="6" t="inlineStr">
        <is>
          <t>IS38-SGTIM-018-AS01</t>
        </is>
      </c>
      <c r="D209" s="6" t="inlineStr">
        <is>
          <t>IS38-SGTIM-018-AS01-A01</t>
        </is>
      </c>
      <c r="E209" s="6" t="inlineStr">
        <is>
          <t>IS38-SGTIM-018-G1</t>
        </is>
      </c>
      <c r="F209" s="6" t="inlineStr">
        <is>
          <t>4 Substeps #1 and #2, translated: "Update to Compose Foundation 1.1.0+" / "Apply to LazyColumn task lists." In Flutter the stretch already exists; the requirement is that it be applied, not installed.</t>
        </is>
      </c>
      <c r="G209" s="6" t="inlineStr">
        <is>
          <t>The behaviour declares the stretch for the Android family and only for the Android family, so no list has to opt in</t>
        </is>
      </c>
      <c r="H209" s="6" t="inlineStr">
        <is>
          <t>Unit / logic</t>
        </is>
      </c>
      <c r="I209" s="6" t="inlineStr">
        <is>
          <t>Active</t>
        </is>
      </c>
      <c r="J209" s="6" t="inlineStr">
        <is>
          <t>Yes - value computed</t>
        </is>
      </c>
      <c r="K209" s="7" t="inlineStr"/>
    </row>
    <row r="210" ht="58" customHeight="1">
      <c r="A210" s="5" t="n">
        <v>209</v>
      </c>
      <c r="B210" s="5" t="n">
        <v>31</v>
      </c>
      <c r="C210" s="5" t="inlineStr">
        <is>
          <t>IS38-SGTIM-018-AS01</t>
        </is>
      </c>
      <c r="D210" s="5" t="inlineStr">
        <is>
          <t>IS38-SGTIM-018-AS01-A01</t>
        </is>
      </c>
      <c r="E210" s="5" t="inlineStr">
        <is>
          <t>IS38-SGTIM-018-G2</t>
        </is>
      </c>
      <c r="F210" s="5" t="inlineStr">
        <is>
          <t>4 Substeps #2: "Apply to LazyColumn TASK LISTS" -- all of them.</t>
        </is>
      </c>
      <c r="G210" s="5" t="inlineStr">
        <is>
          <t>The behaviour is installed once at the application root, so every scrollable in the app inherits it rather than remembering to ask</t>
        </is>
      </c>
      <c r="H210" s="5" t="inlineStr">
        <is>
          <t>Unit / logic</t>
        </is>
      </c>
      <c r="I210" s="5" t="inlineStr">
        <is>
          <t>Active</t>
        </is>
      </c>
      <c r="J210" s="5" t="inlineStr">
        <is>
          <t>Yes - value computed</t>
        </is>
      </c>
      <c r="K210" s="7" t="inlineStr"/>
    </row>
    <row r="211" ht="58" customHeight="1">
      <c r="A211" s="6" t="n">
        <v>210</v>
      </c>
      <c r="B211" s="6" t="n">
        <v>31</v>
      </c>
      <c r="C211" s="6" t="inlineStr">
        <is>
          <t>IS38-SGTIM-018-AS01</t>
        </is>
      </c>
      <c r="D211" s="6" t="inlineStr">
        <is>
          <t>IS38-SGTIM-018-AS01-A01</t>
        </is>
      </c>
      <c r="E211" s="6" t="inlineStr">
        <is>
          <t>IS38-SGTIM-018-G3</t>
        </is>
      </c>
      <c r="F211" s="6" t="inlineStr">
        <is>
          <t>4 Substeps #3: "Test scrolling bounds." + Poka-Yoke: "Built-in Material 3 physics prevent unnatural scrolling breaks or rigid UI halts."</t>
        </is>
      </c>
      <c r="G211" s="6" t="inlineStr">
        <is>
          <t>Physics are clamped on the stretch platforms -- the stretch is a visual effect over a scroll that has genuinely stopped -- and bouncing where the platform itself bounces</t>
        </is>
      </c>
      <c r="H211" s="6" t="inlineStr">
        <is>
          <t>Unit / logic</t>
        </is>
      </c>
      <c r="I211" s="6" t="inlineStr">
        <is>
          <t>Active</t>
        </is>
      </c>
      <c r="J211" s="6" t="inlineStr">
        <is>
          <t>Yes - value computed</t>
        </is>
      </c>
      <c r="K211" s="7" t="inlineStr"/>
    </row>
    <row r="212" ht="58" customHeight="1">
      <c r="A212" s="5" t="n">
        <v>211</v>
      </c>
      <c r="B212" s="5" t="n">
        <v>31</v>
      </c>
      <c r="C212" s="5" t="inlineStr">
        <is>
          <t>IS38-SGTIM-018-AS01</t>
        </is>
      </c>
      <c r="D212" s="5" t="inlineStr">
        <is>
          <t>IS38-SGTIM-018-AS01-A01</t>
        </is>
      </c>
      <c r="E212" s="5" t="inlineStr">
        <is>
          <t>IS38-SGTIM-018-G4</t>
        </is>
      </c>
      <c r="F212" s="5" t="inlineStr">
        <is>
          <t>Decision to be Made Before Setup Step: "How does the list feel when the user reaches the end of their task queue?"</t>
        </is>
      </c>
      <c r="G212" s="5" t="inlineStr">
        <is>
          <t>The decision is recorded in the source next to the code it governs -- elastic, never a rigid halt, never a glow</t>
        </is>
      </c>
      <c r="H212" s="5" t="inlineStr">
        <is>
          <t>Static scan</t>
        </is>
      </c>
      <c r="I212" s="5" t="inlineStr">
        <is>
          <t>Active</t>
        </is>
      </c>
      <c r="J212" s="5" t="inlineStr">
        <is>
          <t>Yes - value computed</t>
        </is>
      </c>
      <c r="K212" s="7" t="inlineStr"/>
    </row>
    <row r="213" ht="58" customHeight="1">
      <c r="A213" s="6" t="n">
        <v>212</v>
      </c>
      <c r="B213" s="6" t="n">
        <v>31</v>
      </c>
      <c r="C213" s="6" t="inlineStr">
        <is>
          <t>IS38-SGTIM-018-AS01</t>
        </is>
      </c>
      <c r="D213" s="6" t="inlineStr">
        <is>
          <t>IS38-SGTIM-018-AS01-A01</t>
        </is>
      </c>
      <c r="E213" s="6" t="inlineStr">
        <is>
          <t>IS38-SGTIM-018-G5</t>
        </is>
      </c>
      <c r="F213" s="6" t="inlineStr">
        <is>
          <t>Setup Step (Action): "Apply M3 Overscroll Stretch on MTOI Lists." + Poka-Yoke: "Built-in Material 3 physics prevent unnatural scrolling breaks."</t>
        </is>
      </c>
      <c r="G213" s="6" t="inlineStr">
        <is>
          <t>A list rendered on Android carries the stretching overscroll indicator, and the pre-MD3 glow appears nowhere</t>
        </is>
      </c>
      <c r="H213" s="6" t="inlineStr">
        <is>
          <t>Widget / measured</t>
        </is>
      </c>
      <c r="I213" s="6" t="inlineStr">
        <is>
          <t>Active</t>
        </is>
      </c>
      <c r="J213" s="6" t="inlineStr">
        <is>
          <t>No - needs flutter test</t>
        </is>
      </c>
      <c r="K213" s="7" t="inlineStr"/>
    </row>
    <row r="214" ht="58" customHeight="1">
      <c r="A214" s="5" t="n">
        <v>213</v>
      </c>
      <c r="B214" s="5" t="n">
        <v>31</v>
      </c>
      <c r="C214" s="5" t="inlineStr">
        <is>
          <t>IS38-SGTIM-018-AS01</t>
        </is>
      </c>
      <c r="D214" s="5" t="inlineStr">
        <is>
          <t>IS38-SGTIM-018-AS01-A01</t>
        </is>
      </c>
      <c r="E214" s="5" t="inlineStr">
        <is>
          <t>IS38-SGTIM-018-G6</t>
        </is>
      </c>
      <c r="F214" s="5" t="inlineStr">
        <is>
          <t>4 Substeps #4: "Verify physical elasticity FEEL." Elasticity on iOS is the platform bounce; imposing the Android stretch there would be the unnatural break the poka-yoke warns about.</t>
        </is>
      </c>
      <c r="G214" s="5" t="inlineStr">
        <is>
          <t>On iOS no overscroll indicator is drawn and the scroll physics are the platform bouncing physics</t>
        </is>
      </c>
      <c r="H214" s="5" t="inlineStr">
        <is>
          <t>Unit / logic</t>
        </is>
      </c>
      <c r="I214" s="5" t="inlineStr">
        <is>
          <t>Active</t>
        </is>
      </c>
      <c r="J214" s="5" t="inlineStr">
        <is>
          <t>No - needs flutter test</t>
        </is>
      </c>
      <c r="K214" s="7" t="inlineStr"/>
    </row>
    <row r="215" ht="58" customHeight="1">
      <c r="A215" s="6" t="n">
        <v>214</v>
      </c>
      <c r="B215" s="6" t="n">
        <v>31</v>
      </c>
      <c r="C215" s="6" t="inlineStr">
        <is>
          <t>IS38-SGTIM-018-AS01</t>
        </is>
      </c>
      <c r="D215" s="6" t="inlineStr">
        <is>
          <t>IS38-SGTIM-018-AS01-A01</t>
        </is>
      </c>
      <c r="E215" s="6" t="inlineStr">
        <is>
          <t>IS38-SGTIM-018-G7</t>
        </is>
      </c>
      <c r="F215" s="6" t="inlineStr">
        <is>
          <t>4 Substeps #3: "Test scrolling bounds."</t>
        </is>
      </c>
      <c r="G215" s="6" t="inlineStr">
        <is>
          <t>At the end of the list a further drag leaves the scroll offset pinned to the maximum extent under clamping physics</t>
        </is>
      </c>
      <c r="H215" s="6" t="inlineStr">
        <is>
          <t>Widget / measured</t>
        </is>
      </c>
      <c r="I215" s="6" t="inlineStr">
        <is>
          <t>Active</t>
        </is>
      </c>
      <c r="J215" s="6" t="inlineStr">
        <is>
          <t>No - needs flutter test</t>
        </is>
      </c>
      <c r="K215" s="7" t="inlineStr"/>
    </row>
    <row r="216" ht="58" customHeight="1">
      <c r="A216" s="8" t="n">
        <v>215</v>
      </c>
      <c r="B216" s="8" t="n">
        <v>31</v>
      </c>
      <c r="C216" s="8" t="inlineStr">
        <is>
          <t>IS38-SGTIM-018-AS01</t>
        </is>
      </c>
      <c r="D216" s="8" t="inlineStr">
        <is>
          <t>IS38-SGTIM-018-AS01-A01</t>
        </is>
      </c>
      <c r="E216" s="8" t="inlineStr">
        <is>
          <t>IS38-SGTIM-018-G8</t>
        </is>
      </c>
      <c r="F216" s="8" t="inlineStr">
        <is>
          <t>Completion Measures: "Physical device testing confirms the stretch effect upon reaching the end of the MTOI task list." + 4 Substeps #4: "Verify physical elasticity feel on devices."</t>
        </is>
      </c>
      <c r="G216" s="8" t="inlineStr">
        <is>
          <t>Physical-device confirmation of the stretch feel at the end of a task list</t>
        </is>
      </c>
      <c r="H216" s="8" t="inlineStr">
        <is>
          <t>Unit / logic</t>
        </is>
      </c>
      <c r="I216" s="8" t="inlineStr">
        <is>
          <t>DEFERRED</t>
        </is>
      </c>
      <c r="J216" s="8" t="inlineStr">
        <is>
          <t>No - needs flutter test</t>
        </is>
      </c>
      <c r="K216" s="8" t="inlineStr"/>
    </row>
    <row r="217" ht="58" customHeight="1">
      <c r="A217" s="6" t="n">
        <v>216</v>
      </c>
      <c r="B217" s="6" t="n">
        <v>32</v>
      </c>
      <c r="C217" s="6" t="inlineStr">
        <is>
          <t>CPNCA-006</t>
        </is>
      </c>
      <c r="D217" s="6" t="inlineStr">
        <is>
          <t>CPNCA-006-A01</t>
        </is>
      </c>
      <c r="E217" s="6" t="inlineStr">
        <is>
          <t>CPNCA-006-G1</t>
        </is>
      </c>
      <c r="F217" s="6" t="inlineStr">
        <is>
          <t>4 Substeps #2: "Implement data partitioning hooks that fetch record batches (e.g., 20 items per request) RATHER THAN LOADING ENTIRE DATASETS AT ONCE."</t>
        </is>
      </c>
      <c r="G217" s="6" t="inlineStr">
        <is>
          <t>Two loads fetch exactly two batches of the token chunk size, at the right offsets, out of a 10,000-record source</t>
        </is>
      </c>
      <c r="H217" s="6" t="inlineStr">
        <is>
          <t>Unit / logic</t>
        </is>
      </c>
      <c r="I217" s="6" t="inlineStr">
        <is>
          <t>Active</t>
        </is>
      </c>
      <c r="J217" s="6" t="inlineStr">
        <is>
          <t>No - needs flutter test</t>
        </is>
      </c>
      <c r="K217" s="7" t="inlineStr"/>
    </row>
    <row r="218" ht="58" customHeight="1">
      <c r="A218" s="5" t="n">
        <v>217</v>
      </c>
      <c r="B218" s="5" t="n">
        <v>32</v>
      </c>
      <c r="C218" s="5" t="inlineStr">
        <is>
          <t>CPNCA-006</t>
        </is>
      </c>
      <c r="D218" s="5" t="inlineStr">
        <is>
          <t>CPNCA-006-A01</t>
        </is>
      </c>
      <c r="E218" s="5" t="inlineStr">
        <is>
          <t>CPNCA-006-G2</t>
        </is>
      </c>
      <c r="F218" s="5" t="inlineStr">
        <is>
          <t>4 Substeps #2 -- partitioning only holds if a fast scroll cannot stack overlapping fetches for the same offset.</t>
        </is>
      </c>
      <c r="G218" s="5" t="inlineStr">
        <is>
          <t>Three concurrent load requests result in exactly one call to the source</t>
        </is>
      </c>
      <c r="H218" s="5" t="inlineStr">
        <is>
          <t>Unit / logic</t>
        </is>
      </c>
      <c r="I218" s="5" t="inlineStr">
        <is>
          <t>Active</t>
        </is>
      </c>
      <c r="J218" s="5" t="inlineStr">
        <is>
          <t>No - needs flutter test</t>
        </is>
      </c>
      <c r="K218" s="7" t="inlineStr"/>
    </row>
    <row r="219" ht="58" customHeight="1">
      <c r="A219" s="6" t="n">
        <v>218</v>
      </c>
      <c r="B219" s="6" t="n">
        <v>32</v>
      </c>
      <c r="C219" s="6" t="inlineStr">
        <is>
          <t>CPNCA-006</t>
        </is>
      </c>
      <c r="D219" s="6" t="inlineStr">
        <is>
          <t>CPNCA-006-A01</t>
        </is>
      </c>
      <c r="E219" s="6" t="inlineStr">
        <is>
          <t>CPNCA-006-G3</t>
        </is>
      </c>
      <c r="F219" s="6" t="inlineStr">
        <is>
          <t>4 Substeps #1: "Author a container component that calculates visible viewport boundaries using real-time scroll tracking."</t>
        </is>
      </c>
      <c r="G219" s="6" t="inlineStr">
        <is>
          <t>The next chunk is requested only when the viewport reaches within the prefetch threshold of the loaded window, and never once the source is exhausted</t>
        </is>
      </c>
      <c r="H219" s="6" t="inlineStr">
        <is>
          <t>Unit / logic</t>
        </is>
      </c>
      <c r="I219" s="6" t="inlineStr">
        <is>
          <t>Active</t>
        </is>
      </c>
      <c r="J219" s="6" t="inlineStr">
        <is>
          <t>No - needs flutter test</t>
        </is>
      </c>
      <c r="K219" s="7" t="inlineStr"/>
    </row>
    <row r="220" ht="58" customHeight="1">
      <c r="A220" s="5" t="n">
        <v>219</v>
      </c>
      <c r="B220" s="5" t="n">
        <v>32</v>
      </c>
      <c r="C220" s="5" t="inlineStr">
        <is>
          <t>CPNCA-006</t>
        </is>
      </c>
      <c r="D220" s="5" t="inlineStr">
        <is>
          <t>CPNCA-006-A01</t>
        </is>
      </c>
      <c r="E220" s="5" t="inlineStr">
        <is>
          <t>CPNCA-006-G4</t>
        </is>
      </c>
      <c r="F220" s="5" t="inlineStr">
        <is>
          <t>Decision to be Made Before Setup Step: "Choose between using infinite scrolling mechanics or clear 'Load More' action flags based on data accessibility needs."</t>
        </is>
      </c>
      <c r="G220" s="5" t="inlineStr">
        <is>
          <t>The decision is recorded in the source, and both modes are reachable from one component rather than two</t>
        </is>
      </c>
      <c r="H220" s="5" t="inlineStr">
        <is>
          <t>Static scan</t>
        </is>
      </c>
      <c r="I220" s="5" t="inlineStr">
        <is>
          <t>Active</t>
        </is>
      </c>
      <c r="J220" s="5" t="inlineStr">
        <is>
          <t>Yes - value computed</t>
        </is>
      </c>
      <c r="K220" s="7" t="inlineStr"/>
    </row>
    <row r="221" ht="58" customHeight="1">
      <c r="A221" s="6" t="n">
        <v>220</v>
      </c>
      <c r="B221" s="6" t="n">
        <v>32</v>
      </c>
      <c r="C221" s="6" t="inlineStr">
        <is>
          <t>CPNCA-006</t>
        </is>
      </c>
      <c r="D221" s="6" t="inlineStr">
        <is>
          <t>CPNCA-006-A01</t>
        </is>
      </c>
      <c r="E221" s="6" t="inlineStr">
        <is>
          <t>CPNCA-006-G5</t>
        </is>
      </c>
      <c r="F221" s="6" t="inlineStr">
        <is>
          <t>Completion Measures: "Loading a test collection of 10,000 items preserves a consistent, low DOM element count during continuous scrolling." + 4 Substeps #4: "Verify element counts remain stable during continuous scrolling."</t>
        </is>
      </c>
      <c r="G221" s="6" t="inlineStr">
        <is>
          <t>Across twelve continuous drags of a 10,000-record list the materialised row count stays under the documented ceiling and the dataset is never fully resident</t>
        </is>
      </c>
      <c r="H221" s="6" t="inlineStr">
        <is>
          <t>Widget / measured</t>
        </is>
      </c>
      <c r="I221" s="6" t="inlineStr">
        <is>
          <t>Active</t>
        </is>
      </c>
      <c r="J221" s="6" t="inlineStr">
        <is>
          <t>No - needs flutter test</t>
        </is>
      </c>
      <c r="K221" s="7" t="inlineStr"/>
    </row>
    <row r="222" ht="58" customHeight="1">
      <c r="A222" s="5" t="n">
        <v>221</v>
      </c>
      <c r="B222" s="5" t="n">
        <v>32</v>
      </c>
      <c r="C222" s="5" t="inlineStr">
        <is>
          <t>CPNCA-006</t>
        </is>
      </c>
      <c r="D222" s="5" t="inlineStr">
        <is>
          <t>CPNCA-006-A01</t>
        </is>
      </c>
      <c r="E222" s="5" t="inlineStr">
        <is>
          <t>CPNCA-006-G6</t>
        </is>
      </c>
      <c r="F222" s="5" t="inlineStr">
        <is>
          <t>4 Substeps #3: "Create structural placeholder rows for records still loading."</t>
        </is>
      </c>
      <c r="G222" s="5" t="inlineStr">
        <is>
          <t>While a chunk is in flight the seam shows a placeholder row of the same height, which is replaced by the records when they arrive</t>
        </is>
      </c>
      <c r="H222" s="5" t="inlineStr">
        <is>
          <t>Unit / logic</t>
        </is>
      </c>
      <c r="I222" s="5" t="inlineStr">
        <is>
          <t>Active</t>
        </is>
      </c>
      <c r="J222" s="5" t="inlineStr">
        <is>
          <t>No - needs flutter test</t>
        </is>
      </c>
      <c r="K222" s="7" t="inlineStr"/>
    </row>
    <row r="223" ht="58" customHeight="1">
      <c r="A223" s="6" t="n">
        <v>222</v>
      </c>
      <c r="B223" s="6" t="n">
        <v>32</v>
      </c>
      <c r="C223" s="6" t="inlineStr">
        <is>
          <t>CPNCA-006</t>
        </is>
      </c>
      <c r="D223" s="6" t="inlineStr">
        <is>
          <t>CPNCA-006-A01</t>
        </is>
      </c>
      <c r="E223" s="6" t="inlineStr">
        <is>
          <t>CPNCA-006-G7</t>
        </is>
      </c>
      <c r="F223" s="6" t="inlineStr">
        <is>
          <t>Setup Step (Action): "...for data tables." A table with no rows still has to say something. + GEN-01297, consumed.</t>
        </is>
      </c>
      <c r="G223" s="6" t="inlineStr">
        <is>
          <t>An exhausted source produces the empty state after exactly one fetch, with no retry loop</t>
        </is>
      </c>
      <c r="H223" s="6" t="inlineStr">
        <is>
          <t>Unit / logic</t>
        </is>
      </c>
      <c r="I223" s="6" t="inlineStr">
        <is>
          <t>Active</t>
        </is>
      </c>
      <c r="J223" s="6" t="inlineStr">
        <is>
          <t>No - needs flutter test</t>
        </is>
      </c>
      <c r="K223" s="7" t="inlineStr"/>
    </row>
    <row r="224" ht="58" customHeight="1">
      <c r="A224" s="5" t="n">
        <v>223</v>
      </c>
      <c r="B224" s="5" t="n">
        <v>33</v>
      </c>
      <c r="C224" s="5" t="inlineStr">
        <is>
          <t>ANSA-006</t>
        </is>
      </c>
      <c r="D224" s="5" t="inlineStr">
        <is>
          <t>ANSA-006-A01</t>
        </is>
      </c>
      <c r="E224" s="5" t="inlineStr">
        <is>
          <t>ANSA-006-G1</t>
        </is>
      </c>
      <c r="F224" s="5" t="inlineStr">
        <is>
          <t>Poka-Yoke: "Filter out invalid code punctuation marks from search inputs automatically to prevent database query errors."</t>
        </is>
      </c>
      <c r="G224" s="5" t="inlineStr">
        <is>
          <t>Quotes, escapes, statement separators, wildcards and bracket forms are stripped from the query before it can reach a data source, and the remaining text is preserved intact</t>
        </is>
      </c>
      <c r="H224" s="5" t="inlineStr">
        <is>
          <t>Unit / logic</t>
        </is>
      </c>
      <c r="I224" s="5" t="inlineStr">
        <is>
          <t>Active</t>
        </is>
      </c>
      <c r="J224" s="5" t="inlineStr">
        <is>
          <t>Yes - value computed</t>
        </is>
      </c>
      <c r="K224" s="7" t="inlineStr"/>
    </row>
    <row r="225" ht="58" customHeight="1">
      <c r="A225" s="6" t="n">
        <v>224</v>
      </c>
      <c r="B225" s="6" t="n">
        <v>33</v>
      </c>
      <c r="C225" s="6" t="inlineStr">
        <is>
          <t>ANSA-006</t>
        </is>
      </c>
      <c r="D225" s="6" t="inlineStr">
        <is>
          <t>ANSA-006-A01</t>
        </is>
      </c>
      <c r="E225" s="6" t="inlineStr">
        <is>
          <t>ANSA-006-G2</t>
        </is>
      </c>
      <c r="F225" s="6" t="inlineStr">
        <is>
          <t>4 Substeps #2: "wait for typing pauses BEFORE RUNNING QUERIES." A query per keystroke is the failure this substep exists to prevent.</t>
        </is>
      </c>
      <c r="G225" s="6" t="inlineStr">
        <is>
          <t>A query shorter than the minimum never runs at all, and the debounce window is a motion token rather than a number in the widget</t>
        </is>
      </c>
      <c r="H225" s="6" t="inlineStr">
        <is>
          <t>Unit / logic</t>
        </is>
      </c>
      <c r="I225" s="6" t="inlineStr">
        <is>
          <t>Active</t>
        </is>
      </c>
      <c r="J225" s="6" t="inlineStr">
        <is>
          <t>Yes - value computed</t>
        </is>
      </c>
      <c r="K225" s="7" t="inlineStr"/>
    </row>
    <row r="226" ht="58" customHeight="1">
      <c r="A226" s="5" t="n">
        <v>225</v>
      </c>
      <c r="B226" s="5" t="n">
        <v>33</v>
      </c>
      <c r="C226" s="5" t="inlineStr">
        <is>
          <t>ANSA-006</t>
        </is>
      </c>
      <c r="D226" s="5" t="inlineStr">
        <is>
          <t>ANSA-006-A01</t>
        </is>
      </c>
      <c r="E226" s="5" t="inlineStr">
        <is>
          <t>ANSA-006-G3</t>
        </is>
      </c>
      <c r="F226" s="5" t="inlineStr">
        <is>
          <t>4 Substeps #4: "Save successful lookup keyword values locally to provide quick repeat lookups."</t>
        </is>
      </c>
      <c r="G226" s="5" t="inlineStr">
        <is>
          <t>The local keyword history keeps the most recent entries only, without duplicates, capped at the documented limit</t>
        </is>
      </c>
      <c r="H226" s="5" t="inlineStr">
        <is>
          <t>Unit / logic</t>
        </is>
      </c>
      <c r="I226" s="5" t="inlineStr">
        <is>
          <t>Active</t>
        </is>
      </c>
      <c r="J226" s="5" t="inlineStr">
        <is>
          <t>No - needs flutter test</t>
        </is>
      </c>
      <c r="K226" s="7" t="inlineStr"/>
    </row>
    <row r="227" ht="58" customHeight="1">
      <c r="A227" s="6" t="n">
        <v>226</v>
      </c>
      <c r="B227" s="6" t="n">
        <v>33</v>
      </c>
      <c r="C227" s="6" t="inlineStr">
        <is>
          <t>ANSA-006</t>
        </is>
      </c>
      <c r="D227" s="6" t="inlineStr">
        <is>
          <t>ANSA-006-A01</t>
        </is>
      </c>
      <c r="E227" s="6" t="inlineStr">
        <is>
          <t>ANSA-006-G4</t>
        </is>
      </c>
      <c r="F227" s="6" t="inlineStr">
        <is>
          <t>4 Substeps #4: "Save SUCCESSFUL lookup keyword values locally." A history of searches that found nothing is a list of dead ends.</t>
        </is>
      </c>
      <c r="G227" s="6" t="inlineStr">
        <is>
          <t>A zero-result query leaves the local history untouched</t>
        </is>
      </c>
      <c r="H227" s="6" t="inlineStr">
        <is>
          <t>Unit / logic</t>
        </is>
      </c>
      <c r="I227" s="6" t="inlineStr">
        <is>
          <t>Active</t>
        </is>
      </c>
      <c r="J227" s="6" t="inlineStr">
        <is>
          <t>No - needs flutter test</t>
        </is>
      </c>
      <c r="K227" s="7" t="inlineStr"/>
    </row>
    <row r="228" ht="58" customHeight="1">
      <c r="A228" s="5" t="n">
        <v>227</v>
      </c>
      <c r="B228" s="5" t="n">
        <v>33</v>
      </c>
      <c r="C228" s="5" t="inlineStr">
        <is>
          <t>ANSA-006</t>
        </is>
      </c>
      <c r="D228" s="5" t="inlineStr">
        <is>
          <t>ANSA-006-A01</t>
        </is>
      </c>
      <c r="E228" s="5" t="inlineStr">
        <is>
          <t>ANSA-006-G5</t>
        </is>
      </c>
      <c r="F228" s="5" t="inlineStr">
        <is>
          <t>4 Substeps #2: "Setup brief keypress delay timers to wait for typing pauses before running queries."</t>
        </is>
      </c>
      <c r="G228" s="5" t="inlineStr">
        <is>
          <t>Four keystrokes inside the debounce window produce exactly one query, issued with the final text</t>
        </is>
      </c>
      <c r="H228" s="5" t="inlineStr">
        <is>
          <t>Unit / logic</t>
        </is>
      </c>
      <c r="I228" s="5" t="inlineStr">
        <is>
          <t>Active</t>
        </is>
      </c>
      <c r="J228" s="5" t="inlineStr">
        <is>
          <t>No - needs flutter test</t>
        </is>
      </c>
      <c r="K228" s="7" t="inlineStr"/>
    </row>
    <row r="229" ht="58" customHeight="1">
      <c r="A229" s="6" t="n">
        <v>228</v>
      </c>
      <c r="B229" s="6" t="n">
        <v>33</v>
      </c>
      <c r="C229" s="6" t="inlineStr">
        <is>
          <t>ANSA-006</t>
        </is>
      </c>
      <c r="D229" s="6" t="inlineStr">
        <is>
          <t>ANSA-006-A01</t>
        </is>
      </c>
      <c r="E229" s="6" t="inlineStr">
        <is>
          <t>ANSA-006-G6</t>
        </is>
      </c>
      <c r="F229" s="6" t="inlineStr">
        <is>
          <t>4 Substeps #3: "Render clear category match dropdown grids directly below the header search bar."</t>
        </is>
      </c>
      <c r="G229" s="6" t="inlineStr">
        <is>
          <t>Matches render grouped by category in a panel positioned below the search line, and a tap returns the selected result</t>
        </is>
      </c>
      <c r="H229" s="6" t="inlineStr">
        <is>
          <t>Widget / measured</t>
        </is>
      </c>
      <c r="I229" s="6" t="inlineStr">
        <is>
          <t>Active</t>
        </is>
      </c>
      <c r="J229" s="6" t="inlineStr">
        <is>
          <t>No - needs flutter test</t>
        </is>
      </c>
      <c r="K229" s="7" t="inlineStr"/>
    </row>
    <row r="230" ht="58" customHeight="1">
      <c r="A230" s="5" t="n">
        <v>229</v>
      </c>
      <c r="B230" s="5" t="n">
        <v>33</v>
      </c>
      <c r="C230" s="5" t="inlineStr">
        <is>
          <t>ANSA-006</t>
        </is>
      </c>
      <c r="D230" s="5" t="inlineStr">
        <is>
          <t>ANSA-006-A01</t>
        </is>
      </c>
      <c r="E230" s="5" t="inlineStr">
        <is>
          <t>ANSA-006-G7</t>
        </is>
      </c>
      <c r="F230" s="5" t="inlineStr">
        <is>
          <t>Completion Measures: "Entering valid search terms returns matching assets inside dropdown lists under 350ms." + GEN-01297, consumed for the zero-result case.</t>
        </is>
      </c>
      <c r="G230" s="5" t="inlineStr">
        <is>
          <t>The client-side query completes inside the 350ms budget and a query with no matches renders the empty state rather than a blank panel</t>
        </is>
      </c>
      <c r="H230" s="5" t="inlineStr">
        <is>
          <t>Widget / measured</t>
        </is>
      </c>
      <c r="I230" s="5" t="inlineStr">
        <is>
          <t>Active</t>
        </is>
      </c>
      <c r="J230" s="5" t="inlineStr">
        <is>
          <t>No - needs flutter test</t>
        </is>
      </c>
      <c r="K230" s="7" t="inlineStr"/>
    </row>
    <row r="231" ht="58" customHeight="1">
      <c r="A231" s="6" t="n">
        <v>230</v>
      </c>
      <c r="B231" s="6" t="n">
        <v>34</v>
      </c>
      <c r="C231" s="6" t="inlineStr">
        <is>
          <t>UFHT-032</t>
        </is>
      </c>
      <c r="D231" s="6" t="inlineStr">
        <is>
          <t>UFHT-032-A01</t>
        </is>
      </c>
      <c r="E231" s="6" t="inlineStr">
        <is>
          <t>UFHT-032-G1</t>
        </is>
      </c>
      <c r="F231" s="6" t="inlineStr">
        <is>
          <t>Setup Step Description: "Attach focus event listeners to EVERY INDIVIDUAL INPUT FIELD within the target form." + Metric: Event Listener Coverage Rate (%), Floor 95.0, Optimal 99.0.</t>
        </is>
      </c>
      <c r="G231" s="6" t="inlineStr">
        <is>
          <t>Attaching a listener registers the field and counts toward coverage, so the metric is computed from what actually happened rather than asserted</t>
        </is>
      </c>
      <c r="H231" s="6" t="inlineStr">
        <is>
          <t>Unit / logic</t>
        </is>
      </c>
      <c r="I231" s="6" t="inlineStr">
        <is>
          <t>Active</t>
        </is>
      </c>
      <c r="J231" s="6" t="inlineStr">
        <is>
          <t>No - needs flutter test</t>
        </is>
      </c>
      <c r="K231" s="7" t="inlineStr"/>
    </row>
    <row r="232" ht="58" customHeight="1">
      <c r="A232" s="5" t="n">
        <v>231</v>
      </c>
      <c r="B232" s="5" t="n">
        <v>34</v>
      </c>
      <c r="C232" s="5" t="inlineStr">
        <is>
          <t>UFHT-032</t>
        </is>
      </c>
      <c r="D232" s="5" t="inlineStr">
        <is>
          <t>UFHT-032-A01</t>
        </is>
      </c>
      <c r="E232" s="5" t="inlineStr">
        <is>
          <t>UFHT-032-G2</t>
        </is>
      </c>
      <c r="F232" s="5" t="inlineStr">
        <is>
          <t>Metric: Event Listener Coverage Rate (%) -- a metric that can only ever read 100% is not a measurement.</t>
        </is>
      </c>
      <c r="G232" s="5" t="inlineStr">
        <is>
          <t>Coverage genuinely falls when a registered field loses its listener, so the metric can fail</t>
        </is>
      </c>
      <c r="H232" s="5" t="inlineStr">
        <is>
          <t>Unit / logic</t>
        </is>
      </c>
      <c r="I232" s="5" t="inlineStr">
        <is>
          <t>Active</t>
        </is>
      </c>
      <c r="J232" s="5" t="inlineStr">
        <is>
          <t>No - needs flutter test</t>
        </is>
      </c>
      <c r="K232" s="7" t="inlineStr"/>
    </row>
    <row r="233" ht="58" customHeight="1">
      <c r="A233" s="6" t="n">
        <v>232</v>
      </c>
      <c r="B233" s="6" t="n">
        <v>34</v>
      </c>
      <c r="C233" s="6" t="inlineStr">
        <is>
          <t>UFHT-032</t>
        </is>
      </c>
      <c r="D233" s="6" t="inlineStr">
        <is>
          <t>UFHT-032-A01</t>
        </is>
      </c>
      <c r="E233" s="6" t="inlineStr">
        <is>
          <t>UFHT-032-G3</t>
        </is>
      </c>
      <c r="F233" s="6" t="inlineStr">
        <is>
          <t>Privacy, by construction -- the step asks for focus events, not for content. A tracker that can log a field value eventually will.</t>
        </is>
      </c>
      <c r="G233" s="6" t="inlineStr">
        <is>
          <t>No recorded event carries a field value: the event payload is field name, kind, timestamp and dwell only, and the name is scrubbed on the way out</t>
        </is>
      </c>
      <c r="H233" s="6" t="inlineStr">
        <is>
          <t>Unit / logic</t>
        </is>
      </c>
      <c r="I233" s="6" t="inlineStr">
        <is>
          <t>Active</t>
        </is>
      </c>
      <c r="J233" s="6" t="inlineStr">
        <is>
          <t>Yes - value computed</t>
        </is>
      </c>
      <c r="K233" s="7" t="inlineStr"/>
    </row>
    <row r="234" ht="58" customHeight="1">
      <c r="A234" s="5" t="n">
        <v>233</v>
      </c>
      <c r="B234" s="5" t="n">
        <v>34</v>
      </c>
      <c r="C234" s="5" t="inlineStr">
        <is>
          <t>UFHT-032</t>
        </is>
      </c>
      <c r="D234" s="5" t="inlineStr">
        <is>
          <t>UFHT-032-A01</t>
        </is>
      </c>
      <c r="E234" s="5" t="inlineStr">
        <is>
          <t>UFHT-032-G4</t>
        </is>
      </c>
      <c r="F234" s="5" t="inlineStr">
        <is>
          <t>Setup Step (Action): "UI HESITATION Tracker Engine Setup." Hesitation is dwell without progress; ordinary typing is not hesitation.</t>
        </is>
      </c>
      <c r="G234" s="5" t="inlineStr">
        <is>
          <t>A dwell at or beyond the threshold reads as hesitation and a shorter one does not</t>
        </is>
      </c>
      <c r="H234" s="5" t="inlineStr">
        <is>
          <t>Unit / logic</t>
        </is>
      </c>
      <c r="I234" s="5" t="inlineStr">
        <is>
          <t>Active</t>
        </is>
      </c>
      <c r="J234" s="5" t="inlineStr">
        <is>
          <t>Yes - value computed</t>
        </is>
      </c>
      <c r="K234" s="7" t="inlineStr"/>
    </row>
    <row r="235" ht="58" customHeight="1">
      <c r="A235" s="6" t="n">
        <v>234</v>
      </c>
      <c r="B235" s="6" t="n">
        <v>34</v>
      </c>
      <c r="C235" s="6" t="inlineStr">
        <is>
          <t>UFHT-032</t>
        </is>
      </c>
      <c r="D235" s="6" t="inlineStr">
        <is>
          <t>UFHT-032-A01</t>
        </is>
      </c>
      <c r="E235" s="6" t="inlineStr">
        <is>
          <t>UFHT-032-G5</t>
        </is>
      </c>
      <c r="F235" s="6" t="inlineStr">
        <is>
          <t>TTMAC-014 Completion Measure, which named this step: double-tap corrections must be measurable.</t>
        </is>
      </c>
      <c r="G235" s="6" t="inlineStr">
        <is>
          <t>Two taps on the same target inside the double-tap window record one correction; the same two taps outside the window record none</t>
        </is>
      </c>
      <c r="H235" s="6" t="inlineStr">
        <is>
          <t>Widget / measured</t>
        </is>
      </c>
      <c r="I235" s="6" t="inlineStr">
        <is>
          <t>Active</t>
        </is>
      </c>
      <c r="J235" s="6" t="inlineStr">
        <is>
          <t>Yes - value computed</t>
        </is>
      </c>
      <c r="K235" s="7" t="inlineStr"/>
    </row>
    <row r="236" ht="58" customHeight="1">
      <c r="A236" s="5" t="n">
        <v>235</v>
      </c>
      <c r="B236" s="5" t="n">
        <v>34</v>
      </c>
      <c r="C236" s="5" t="inlineStr">
        <is>
          <t>UFHT-032</t>
        </is>
      </c>
      <c r="D236" s="5" t="inlineStr">
        <is>
          <t>UFHT-032-A01</t>
        </is>
      </c>
      <c r="E236" s="5" t="inlineStr">
        <is>
          <t>UFHT-032-G6</t>
        </is>
      </c>
      <c r="F236" s="5" t="inlineStr">
        <is>
          <t>Setup Step Description: "Attach focus event listeners to every individual input field within the target form." + Metric: Event Listener Coverage Rate (%), Optimal 99.0.</t>
        </is>
      </c>
      <c r="G236" s="5" t="inlineStr">
        <is>
          <t>A three-field form built from the design system reaches 100% listener coverage with no per-field wiring, and the listeners fire on real focus</t>
        </is>
      </c>
      <c r="H236" s="5" t="inlineStr">
        <is>
          <t>Unit / logic</t>
        </is>
      </c>
      <c r="I236" s="5" t="inlineStr">
        <is>
          <t>Active</t>
        </is>
      </c>
      <c r="J236" s="5" t="inlineStr">
        <is>
          <t>No - needs flutter test</t>
        </is>
      </c>
      <c r="K236" s="7" t="inlineStr"/>
    </row>
    <row r="237" ht="58" customHeight="1">
      <c r="A237" s="6" t="n">
        <v>236</v>
      </c>
      <c r="B237" s="6" t="n">
        <v>34</v>
      </c>
      <c r="C237" s="6" t="inlineStr">
        <is>
          <t>UFHT-032</t>
        </is>
      </c>
      <c r="D237" s="6" t="inlineStr">
        <is>
          <t>UFHT-032-A01</t>
        </is>
      </c>
      <c r="E237" s="6" t="inlineStr">
        <is>
          <t>UFHT-032-G7</t>
        </is>
      </c>
      <c r="F237" s="6" t="inlineStr">
        <is>
          <t>Setup Step (Action): "UI Hesitation Tracker Engine Setup" -- a correction is the signal; the content is not.</t>
        </is>
      </c>
      <c r="G237" s="6" t="inlineStr">
        <is>
          <t>Shortening an entered value records exactly one correction, and no event payload contains any part of what was typed</t>
        </is>
      </c>
      <c r="H237" s="6" t="inlineStr">
        <is>
          <t>Unit / logic</t>
        </is>
      </c>
      <c r="I237" s="6" t="inlineStr">
        <is>
          <t>Active</t>
        </is>
      </c>
      <c r="J237" s="6" t="inlineStr">
        <is>
          <t>No - needs flutter test</t>
        </is>
      </c>
      <c r="K237" s="7" t="inlineStr"/>
    </row>
    <row r="238" ht="58" customHeight="1">
      <c r="A238" s="5" t="n">
        <v>237</v>
      </c>
      <c r="B238" s="5" t="n">
        <v>35</v>
      </c>
      <c r="C238" s="5" t="inlineStr">
        <is>
          <t>GEN-00632</t>
        </is>
      </c>
      <c r="D238" s="5" t="inlineStr">
        <is>
          <t>GEN-00632-A01</t>
        </is>
      </c>
      <c r="E238" s="5" t="inlineStr">
        <is>
          <t>GEN-00632-G1</t>
        </is>
      </c>
      <c r="F238" s="5" t="inlineStr">
        <is>
          <t>Setup Step Description: "Define the FrictionTracker widget wrapper class." + Metric: Class Wrapper Integrity, Floor = Optimal = 100%.</t>
        </is>
      </c>
      <c r="G238" s="5" t="inlineStr">
        <is>
          <t>The report derives every rate from recorded counts rather than storing them, so a rate can never disagree with the events behind it</t>
        </is>
      </c>
      <c r="H238" s="5" t="inlineStr">
        <is>
          <t>Unit / logic</t>
        </is>
      </c>
      <c r="I238" s="5" t="inlineStr">
        <is>
          <t>Active</t>
        </is>
      </c>
      <c r="J238" s="5" t="inlineStr">
        <is>
          <t>Yes - value computed</t>
        </is>
      </c>
      <c r="K238" s="7" t="inlineStr"/>
    </row>
    <row r="239" ht="58" customHeight="1">
      <c r="A239" s="6" t="n">
        <v>238</v>
      </c>
      <c r="B239" s="6" t="n">
        <v>35</v>
      </c>
      <c r="C239" s="6" t="inlineStr">
        <is>
          <t>GEN-00632</t>
        </is>
      </c>
      <c r="D239" s="6" t="inlineStr">
        <is>
          <t>GEN-00632-A01</t>
        </is>
      </c>
      <c r="E239" s="6" t="inlineStr">
        <is>
          <t>GEN-00632-G2</t>
        </is>
      </c>
      <c r="F239" s="6" t="inlineStr">
        <is>
          <t>REF-197 Poka-Yoke, inherited: "strip out server-specific error language automatically before messages reach the UI layer" -- a friction log is a log, and the same rule applies to it.</t>
        </is>
      </c>
      <c r="G239" s="6" t="inlineStr">
        <is>
          <t>The emitted log is scrubbed and value-free: a screen name carrying a path or an address is redacted before it leaves the report</t>
        </is>
      </c>
      <c r="H239" s="6" t="inlineStr">
        <is>
          <t>Unit / logic</t>
        </is>
      </c>
      <c r="I239" s="6" t="inlineStr">
        <is>
          <t>Active</t>
        </is>
      </c>
      <c r="J239" s="6" t="inlineStr">
        <is>
          <t>No - needs flutter test</t>
        </is>
      </c>
      <c r="K239" s="7" t="inlineStr"/>
    </row>
    <row r="240" ht="58" customHeight="1">
      <c r="A240" s="5" t="n">
        <v>239</v>
      </c>
      <c r="B240" s="5" t="n">
        <v>35</v>
      </c>
      <c r="C240" s="5" t="inlineStr">
        <is>
          <t>GEN-00632</t>
        </is>
      </c>
      <c r="D240" s="5" t="inlineStr">
        <is>
          <t>GEN-00632-A01</t>
        </is>
      </c>
      <c r="E240" s="5" t="inlineStr">
        <is>
          <t>GEN-00632-G3</t>
        </is>
      </c>
      <c r="F240" s="5" t="inlineStr">
        <is>
          <t>TTMAC-014 Completion Measure: "double-tap corrections below 1%." The gate that step deferred needs a computed rate, and this is where it is computed.</t>
        </is>
      </c>
      <c r="G240" s="5" t="inlineStr">
        <is>
          <t>A deterministic 500-interaction replay produces a double-tap correction rate below the 1% ceiling, from real recorded taps rather than a constant</t>
        </is>
      </c>
      <c r="H240" s="5" t="inlineStr">
        <is>
          <t>Widget / measured</t>
        </is>
      </c>
      <c r="I240" s="5" t="inlineStr">
        <is>
          <t>Active</t>
        </is>
      </c>
      <c r="J240" s="5" t="inlineStr">
        <is>
          <t>Yes - value computed</t>
        </is>
      </c>
      <c r="K240" s="7" t="inlineStr"/>
    </row>
    <row r="241" ht="58" customHeight="1">
      <c r="A241" s="6" t="n">
        <v>240</v>
      </c>
      <c r="B241" s="6" t="n">
        <v>35</v>
      </c>
      <c r="C241" s="6" t="inlineStr">
        <is>
          <t>GEN-00632</t>
        </is>
      </c>
      <c r="D241" s="6" t="inlineStr">
        <is>
          <t>GEN-00632-A01</t>
        </is>
      </c>
      <c r="E241" s="6" t="inlineStr">
        <is>
          <t>GEN-00632-G4</t>
        </is>
      </c>
      <c r="F241" s="6" t="inlineStr">
        <is>
          <t>Setup Step Description: "Define the FrictionTracker widget wrapper class." Instrumentation that swallows a tap is worse than no instrumentation.</t>
        </is>
      </c>
      <c r="G241" s="6" t="inlineStr">
        <is>
          <t>A wrapped screen records the pointer while the control beneath it still fires</t>
        </is>
      </c>
      <c r="H241" s="6" t="inlineStr">
        <is>
          <t>Unit / logic</t>
        </is>
      </c>
      <c r="I241" s="6" t="inlineStr">
        <is>
          <t>Active</t>
        </is>
      </c>
      <c r="J241" s="6" t="inlineStr">
        <is>
          <t>No - needs flutter test</t>
        </is>
      </c>
      <c r="K241" s="7" t="inlineStr"/>
    </row>
    <row r="242" ht="58" customHeight="1">
      <c r="A242" s="5" t="n">
        <v>241</v>
      </c>
      <c r="B242" s="5" t="n">
        <v>35</v>
      </c>
      <c r="C242" s="5" t="inlineStr">
        <is>
          <t>GEN-00632</t>
        </is>
      </c>
      <c r="D242" s="5" t="inlineStr">
        <is>
          <t>GEN-00632-A01</t>
        </is>
      </c>
      <c r="E242" s="5" t="inlineStr">
        <is>
          <t>GEN-00632-G5</t>
        </is>
      </c>
      <c r="F242" s="5" t="inlineStr">
        <is>
          <t>Metric: Class Wrapper Integrity (100%). A wrapper whose report cannot be read from inside the subtree it wraps has no integrity to measure.</t>
        </is>
      </c>
      <c r="G242" s="5" t="inlineStr">
        <is>
          <t>A subtree finds its enclosing tracker and reads a live report naming the screen and counting its taps</t>
        </is>
      </c>
      <c r="H242" s="5" t="inlineStr">
        <is>
          <t>Widget / measured</t>
        </is>
      </c>
      <c r="I242" s="5" t="inlineStr">
        <is>
          <t>Active</t>
        </is>
      </c>
      <c r="J242" s="5" t="inlineStr">
        <is>
          <t>No - needs flutter test</t>
        </is>
      </c>
      <c r="K242" s="7" t="inlineStr"/>
    </row>
    <row r="243" ht="58" customHeight="1">
      <c r="A243" s="6" t="n">
        <v>242</v>
      </c>
      <c r="B243" s="6" t="n">
        <v>36</v>
      </c>
      <c r="C243" s="6" t="inlineStr">
        <is>
          <t>SSTLA-012</t>
        </is>
      </c>
      <c r="D243" s="6" t="inlineStr">
        <is>
          <t>SSTLA-012-A01</t>
        </is>
      </c>
      <c r="E243" s="6" t="inlineStr">
        <is>
          <t>SSTLA-012-G1</t>
        </is>
      </c>
      <c r="F243" s="6" t="inlineStr">
        <is>
          <t>Data Collected by System: "Layout Type; Layout Grid Dimensions; Spacing Rules; Alignment Settings; Layout Validation Status."</t>
        </is>
      </c>
      <c r="G243" s="6" t="inlineStr">
        <is>
          <t>A blueprint reading produces all five atomic fields the step names, each populated from the layout rather than restated by hand</t>
        </is>
      </c>
      <c r="H243" s="6" t="inlineStr">
        <is>
          <t>Unit / logic</t>
        </is>
      </c>
      <c r="I243" s="6" t="inlineStr">
        <is>
          <t>Active</t>
        </is>
      </c>
      <c r="J243" s="6" t="inlineStr">
        <is>
          <t>No - needs flutter test</t>
        </is>
      </c>
      <c r="K243" s="7" t="inlineStr"/>
    </row>
    <row r="244" ht="58" customHeight="1">
      <c r="A244" s="5" t="n">
        <v>243</v>
      </c>
      <c r="B244" s="5" t="n">
        <v>36</v>
      </c>
      <c r="C244" s="5" t="inlineStr">
        <is>
          <t>SSTLA-012</t>
        </is>
      </c>
      <c r="D244" s="5" t="inlineStr">
        <is>
          <t>SSTLA-012-A01</t>
        </is>
      </c>
      <c r="E244" s="5" t="inlineStr">
        <is>
          <t>SSTLA-012-G2</t>
        </is>
      </c>
      <c r="F244" s="5" t="inlineStr">
        <is>
          <t>User Interaction / Flow Impact: "Double-tapping panel bars snaps views between split ratios instantly."</t>
        </is>
      </c>
      <c r="G244" s="5" t="inlineStr">
        <is>
          <t>The ratios are distinct stops and the double-tap cycle visits all three and returns -- so the gesture can never strand the operator on a ratio they cannot leave</t>
        </is>
      </c>
      <c r="H244" s="5" t="inlineStr">
        <is>
          <t>WCAG contrast</t>
        </is>
      </c>
      <c r="I244" s="5" t="inlineStr">
        <is>
          <t>Active</t>
        </is>
      </c>
      <c r="J244" s="5" t="inlineStr">
        <is>
          <t>No - needs flutter test</t>
        </is>
      </c>
      <c r="K244" s="7" t="inlineStr"/>
    </row>
    <row r="245" ht="58" customHeight="1">
      <c r="A245" s="6" t="n">
        <v>244</v>
      </c>
      <c r="B245" s="6" t="n">
        <v>36</v>
      </c>
      <c r="C245" s="6" t="inlineStr">
        <is>
          <t>SSTLA-012</t>
        </is>
      </c>
      <c r="D245" s="6" t="inlineStr">
        <is>
          <t>SSTLA-012-A01</t>
        </is>
      </c>
      <c r="E245" s="6" t="inlineStr">
        <is>
          <t>SSTLA-012-G3</t>
        </is>
      </c>
      <c r="F245" s="6" t="inlineStr">
        <is>
          <t>Mobile App First Implication: "Maximizes the available layout space by adapting container boxes to compact touch displays." + SSTLA-010 Mobile-First row: compact viewports stack vertically.</t>
        </is>
      </c>
      <c r="G245" s="6" t="inlineStr">
        <is>
          <t>The arrangement is a function of the window class the grid tokens already define -- stacked below 600dp, side by side above it -- and not a value any caller can pass in</t>
        </is>
      </c>
      <c r="H245" s="6" t="inlineStr">
        <is>
          <t>Unit / logic</t>
        </is>
      </c>
      <c r="I245" s="6" t="inlineStr">
        <is>
          <t>Active</t>
        </is>
      </c>
      <c r="J245" s="6" t="inlineStr">
        <is>
          <t>No - needs flutter test</t>
        </is>
      </c>
      <c r="K245" s="7" t="inlineStr"/>
    </row>
    <row r="246" ht="58" customHeight="1">
      <c r="A246" s="5" t="n">
        <v>245</v>
      </c>
      <c r="B246" s="5" t="n">
        <v>36</v>
      </c>
      <c r="C246" s="5" t="inlineStr">
        <is>
          <t>SSTLA-012</t>
        </is>
      </c>
      <c r="D246" s="5" t="inlineStr">
        <is>
          <t>SSTLA-012-A01</t>
        </is>
      </c>
      <c r="E246" s="5" t="inlineStr">
        <is>
          <t>SSTLA-012-G4</t>
        </is>
      </c>
      <c r="F246" s="5" t="inlineStr">
        <is>
          <t>Expected Output: "Measures of Completion: Mobile views adjust cleanly when rotated, maintaining target sizes across panels."</t>
        </is>
      </c>
      <c r="G246" s="5" t="inlineStr">
        <is>
          <t>Every device in the matrix produces a usable layout in BOTH orientations at every ratio, and no pane in a mirror is ever smaller than the minimum extent -- where it would be, the blueprint changes arrangement rather than shrinking the pane</t>
        </is>
      </c>
      <c r="H246" s="5" t="inlineStr">
        <is>
          <t>WCAG contrast</t>
        </is>
      </c>
      <c r="I246" s="5" t="inlineStr">
        <is>
          <t>Active</t>
        </is>
      </c>
      <c r="J246" s="5" t="inlineStr">
        <is>
          <t>Yes - value computed</t>
        </is>
      </c>
      <c r="K246" s="7" t="inlineStr"/>
    </row>
    <row r="247" ht="58" customHeight="1">
      <c r="A247" s="6" t="n">
        <v>246</v>
      </c>
      <c r="B247" s="6" t="n">
        <v>36</v>
      </c>
      <c r="C247" s="6" t="inlineStr">
        <is>
          <t>SSTLA-012</t>
        </is>
      </c>
      <c r="D247" s="6" t="inlineStr">
        <is>
          <t>SSTLA-012-A01</t>
        </is>
      </c>
      <c r="E247" s="6" t="inlineStr">
        <is>
          <t>SSTLA-012-G5</t>
        </is>
      </c>
      <c r="F247" s="6" t="inlineStr">
        <is>
          <t>Why This Matters: "Clunky split-screen layouts cause constant scrolling, increasing processing errors."</t>
        </is>
      </c>
      <c r="G247" s="6" t="inlineStr">
        <is>
          <t>No viewport ever yields a mirror with a pane below the minimum extent: the smallest device in landscape falls back to tabs, which is recorded as a fallback rather than reported as valid</t>
        </is>
      </c>
      <c r="H247" s="6" t="inlineStr">
        <is>
          <t>Unit / logic</t>
        </is>
      </c>
      <c r="I247" s="6" t="inlineStr">
        <is>
          <t>Active</t>
        </is>
      </c>
      <c r="J247" s="6" t="inlineStr">
        <is>
          <t>Yes - value computed</t>
        </is>
      </c>
      <c r="K247" s="7" t="inlineStr"/>
    </row>
    <row r="248" ht="58" customHeight="1">
      <c r="A248" s="5" t="n">
        <v>247</v>
      </c>
      <c r="B248" s="5" t="n">
        <v>36</v>
      </c>
      <c r="C248" s="5" t="inlineStr">
        <is>
          <t>SSTLA-012</t>
        </is>
      </c>
      <c r="D248" s="5" t="inlineStr">
        <is>
          <t>SSTLA-012-A01</t>
        </is>
      </c>
      <c r="E248" s="5" t="inlineStr">
        <is>
          <t>SSTLA-012-G6</t>
        </is>
      </c>
      <c r="F248" s="5" t="inlineStr">
        <is>
          <t>Poka-Yoke: "Code linters block views that do not extend the master layout wrapper." + Self-Chasing: "Missing layout hooks stop compilation, keeping bad code out of testing builds."</t>
        </is>
      </c>
      <c r="G248" s="5" t="inlineStr">
        <is>
          <t>No file under lib/ builds a bare Scaffold: the master wrapper is the only one, and the guard fails the build if a second appears</t>
        </is>
      </c>
      <c r="H248" s="5" t="inlineStr">
        <is>
          <t>Static scan</t>
        </is>
      </c>
      <c r="I248" s="5" t="inlineStr">
        <is>
          <t>Active</t>
        </is>
      </c>
      <c r="J248" s="5" t="inlineStr">
        <is>
          <t>No - needs flutter test</t>
        </is>
      </c>
      <c r="K248" s="7" t="inlineStr"/>
    </row>
    <row r="249" ht="58" customHeight="1">
      <c r="A249" s="6" t="n">
        <v>248</v>
      </c>
      <c r="B249" s="6" t="n">
        <v>36</v>
      </c>
      <c r="C249" s="6" t="inlineStr">
        <is>
          <t>SSTLA-012</t>
        </is>
      </c>
      <c r="D249" s="6" t="inlineStr">
        <is>
          <t>SSTLA-012-A01</t>
        </is>
      </c>
      <c r="E249" s="6" t="inlineStr">
        <is>
          <t>SSTLA-012-G7</t>
        </is>
      </c>
      <c r="F249" s="6" t="inlineStr">
        <is>
          <t>User Interaction / Flow Impact: "Double-tapping panel bars snaps views between split ratios instantly." + Expected Output: "Unified layout container component files."</t>
        </is>
      </c>
      <c r="G249" s="6" t="inlineStr">
        <is>
          <t>Both panes render together on a tablet viewport, and a double-tap on the panel bar moves the split to the next stop on the same frame</t>
        </is>
      </c>
      <c r="H249" s="6" t="inlineStr">
        <is>
          <t>Widget / measured</t>
        </is>
      </c>
      <c r="I249" s="6" t="inlineStr">
        <is>
          <t>Active</t>
        </is>
      </c>
      <c r="J249" s="6" t="inlineStr">
        <is>
          <t>No - needs flutter test</t>
        </is>
      </c>
      <c r="K249" s="7" t="inlineStr"/>
    </row>
    <row r="250" ht="58" customHeight="1">
      <c r="A250" s="5" t="n">
        <v>249</v>
      </c>
      <c r="B250" s="5" t="n">
        <v>37</v>
      </c>
      <c r="C250" s="5" t="inlineStr">
        <is>
          <t>GEN-03270</t>
        </is>
      </c>
      <c r="D250" s="5" t="inlineStr">
        <is>
          <t>GEN-03270-A01</t>
        </is>
      </c>
      <c r="E250" s="5" t="inlineStr">
        <is>
          <t>GEN-03270-G1</t>
        </is>
      </c>
      <c r="F250" s="5" t="inlineStr">
        <is>
          <t>Setup Step (Action): "Create RESPONSIVE split-screen and master-detail layout containers for MOBILE/TABLET screens."</t>
        </is>
      </c>
      <c r="G250" s="5" t="inlineStr">
        <is>
          <t>Both containers read the viewport rather than taking a breakpoint parameter: master-detail is two-pane exactly where the blueprint says the mirror is side by side</t>
        </is>
      </c>
      <c r="H250" s="5" t="inlineStr">
        <is>
          <t>Unit / logic</t>
        </is>
      </c>
      <c r="I250" s="5" t="inlineStr">
        <is>
          <t>Active</t>
        </is>
      </c>
      <c r="J250" s="5" t="inlineStr">
        <is>
          <t>No - needs flutter test</t>
        </is>
      </c>
      <c r="K250" s="7" t="inlineStr"/>
    </row>
    <row r="251" ht="58" customHeight="1">
      <c r="A251" s="6" t="n">
        <v>250</v>
      </c>
      <c r="B251" s="6" t="n">
        <v>37</v>
      </c>
      <c r="C251" s="6" t="inlineStr">
        <is>
          <t>GEN-03270</t>
        </is>
      </c>
      <c r="D251" s="6" t="inlineStr">
        <is>
          <t>GEN-03270-A01</t>
        </is>
      </c>
      <c r="E251" s="6" t="inlineStr">
        <is>
          <t>GEN-03270-G2</t>
        </is>
      </c>
      <c r="F251" s="6" t="inlineStr">
        <is>
          <t>Metric: Layout Responsiveness Pass Rate = 1.0 -- every viewport, not most of them.</t>
        </is>
      </c>
      <c r="G251" s="6" t="inlineStr">
        <is>
          <t>Across all nine matrix devices in both orientations the containers resolve to a usable arrangement, and the flex weights always sum to the whole axis</t>
        </is>
      </c>
      <c r="H251" s="6" t="inlineStr">
        <is>
          <t>Unit / logic</t>
        </is>
      </c>
      <c r="I251" s="6" t="inlineStr">
        <is>
          <t>Active</t>
        </is>
      </c>
      <c r="J251" s="6" t="inlineStr">
        <is>
          <t>Yes - value computed</t>
        </is>
      </c>
      <c r="K251" s="7" t="inlineStr"/>
    </row>
    <row r="252" ht="58" customHeight="1">
      <c r="A252" s="5" t="n">
        <v>251</v>
      </c>
      <c r="B252" s="5" t="n">
        <v>37</v>
      </c>
      <c r="C252" s="5" t="inlineStr">
        <is>
          <t>GEN-03270</t>
        </is>
      </c>
      <c r="D252" s="5" t="inlineStr">
        <is>
          <t>GEN-03270-A01</t>
        </is>
      </c>
      <c r="E252" s="5" t="inlineStr">
        <is>
          <t>GEN-03270-G3</t>
        </is>
      </c>
      <c r="F252" s="5" t="inlineStr">
        <is>
          <t>Setup Step (Action): "Create responsive split-screen ... containers for mobile/tablet screens."</t>
        </is>
      </c>
      <c r="G252" s="5" t="inlineStr">
        <is>
          <t>One widget produces a vertical stack at 393dp and a side-by-side split at 1024dp, with evidence leading in both</t>
        </is>
      </c>
      <c r="H252" s="5" t="inlineStr">
        <is>
          <t>Unit / logic</t>
        </is>
      </c>
      <c r="I252" s="5" t="inlineStr">
        <is>
          <t>Active</t>
        </is>
      </c>
      <c r="J252" s="5" t="inlineStr">
        <is>
          <t>No - needs flutter test</t>
        </is>
      </c>
      <c r="K252" s="7" t="inlineStr"/>
    </row>
    <row r="253" ht="58" customHeight="1">
      <c r="A253" s="6" t="n">
        <v>252</v>
      </c>
      <c r="B253" s="6" t="n">
        <v>37</v>
      </c>
      <c r="C253" s="6" t="inlineStr">
        <is>
          <t>GEN-03270</t>
        </is>
      </c>
      <c r="D253" s="6" t="inlineStr">
        <is>
          <t>GEN-03270-A01</t>
        </is>
      </c>
      <c r="E253" s="6" t="inlineStr">
        <is>
          <t>GEN-03270-G4</t>
        </is>
      </c>
      <c r="F253" s="6" t="inlineStr">
        <is>
          <t>Setup Step (Action): "...and MASTER-DETAIL layout containers for mobile/tablet screens."</t>
        </is>
      </c>
      <c r="G253" s="6" t="inlineStr">
        <is>
          <t>The same container shows list and record together at 1024dp and the record alone at 393dp</t>
        </is>
      </c>
      <c r="H253" s="6" t="inlineStr">
        <is>
          <t>Unit / logic</t>
        </is>
      </c>
      <c r="I253" s="6" t="inlineStr">
        <is>
          <t>Active</t>
        </is>
      </c>
      <c r="J253" s="6" t="inlineStr">
        <is>
          <t>No - needs flutter test</t>
        </is>
      </c>
      <c r="K253" s="7" t="inlineStr"/>
    </row>
    <row r="254" ht="58" customHeight="1">
      <c r="A254" s="5" t="n">
        <v>253</v>
      </c>
      <c r="B254" s="5" t="n">
        <v>37</v>
      </c>
      <c r="C254" s="5" t="inlineStr">
        <is>
          <t>GEN-03270</t>
        </is>
      </c>
      <c r="D254" s="5" t="inlineStr">
        <is>
          <t>GEN-03270-A01</t>
        </is>
      </c>
      <c r="E254" s="5" t="inlineStr">
        <is>
          <t>GEN-03270-G5</t>
        </is>
      </c>
      <c r="F254" s="5" t="inlineStr">
        <is>
          <t>Setup Step (Action) -- a master-detail container that loses the back gesture makes the phone case unusable, which is the case the step is for.</t>
        </is>
      </c>
      <c r="G254" s="5" t="inlineStr">
        <is>
          <t>With a detail open on a phone the container claims the back gesture and reports the dismissal to its caller</t>
        </is>
      </c>
      <c r="H254" s="5" t="inlineStr">
        <is>
          <t>Unit / logic</t>
        </is>
      </c>
      <c r="I254" s="5" t="inlineStr">
        <is>
          <t>Active</t>
        </is>
      </c>
      <c r="J254" s="5" t="inlineStr">
        <is>
          <t>No - needs flutter test</t>
        </is>
      </c>
      <c r="K254" s="7" t="inlineStr"/>
    </row>
    <row r="255" ht="58" customHeight="1">
      <c r="A255" s="6" t="n">
        <v>254</v>
      </c>
      <c r="B255" s="6" t="n">
        <v>37</v>
      </c>
      <c r="C255" s="6" t="inlineStr">
        <is>
          <t>GEN-03270</t>
        </is>
      </c>
      <c r="D255" s="6" t="inlineStr">
        <is>
          <t>GEN-03270-A01</t>
        </is>
      </c>
      <c r="E255" s="6" t="inlineStr">
        <is>
          <t>GEN-03270-G6</t>
        </is>
      </c>
      <c r="F255" s="6" t="inlineStr">
        <is>
          <t>SSTLA-012 Expected Output: "maintaining target sizes across panels." A 160dp pane has not maintained its target size, so the container changes shape instead.</t>
        </is>
      </c>
      <c r="G255" s="6" t="inlineStr">
        <is>
          <t>At 568x320 the split view renders the documented tabbed fallback with both panes reachable as tabs</t>
        </is>
      </c>
      <c r="H255" s="6" t="inlineStr">
        <is>
          <t>Widget / measured</t>
        </is>
      </c>
      <c r="I255" s="6" t="inlineStr">
        <is>
          <t>Active</t>
        </is>
      </c>
      <c r="J255" s="6" t="inlineStr">
        <is>
          <t>Yes - value computed</t>
        </is>
      </c>
      <c r="K255" s="7" t="inlineStr"/>
    </row>
    <row r="256" ht="58" customHeight="1">
      <c r="A256" s="5" t="n">
        <v>255</v>
      </c>
      <c r="B256" s="5" t="n">
        <v>38</v>
      </c>
      <c r="C256" s="5" t="inlineStr">
        <is>
          <t>SSTLA-010</t>
        </is>
      </c>
      <c r="D256" s="5" t="inlineStr">
        <is>
          <t>SSTLA-010-A01</t>
        </is>
      </c>
      <c r="E256" s="5" t="inlineStr">
        <is>
          <t>SSTLA-010-G1</t>
        </is>
      </c>
      <c r="F256" s="5" t="inlineStr">
        <is>
          <t>Mobile App First Implication: "Replaces wide side-by-side desktop grids with clean, thumb-friendly VERTICAL STACKS tailored for mobile interaction."</t>
        </is>
      </c>
      <c r="G256" s="5" t="inlineStr">
        <is>
          <t>A pane on a compact viewport is a single column of full-width rows; two fields per row only once there is room for them</t>
        </is>
      </c>
      <c r="H256" s="5" t="inlineStr">
        <is>
          <t>Unit / logic</t>
        </is>
      </c>
      <c r="I256" s="5" t="inlineStr">
        <is>
          <t>Active</t>
        </is>
      </c>
      <c r="J256" s="5" t="inlineStr">
        <is>
          <t>No - needs flutter test</t>
        </is>
      </c>
      <c r="K256" s="7" t="inlineStr"/>
    </row>
    <row r="257" ht="58" customHeight="1">
      <c r="A257" s="6" t="n">
        <v>256</v>
      </c>
      <c r="B257" s="6" t="n">
        <v>38</v>
      </c>
      <c r="C257" s="6" t="inlineStr">
        <is>
          <t>SSTLA-010</t>
        </is>
      </c>
      <c r="D257" s="6" t="inlineStr">
        <is>
          <t>SSTLA-010-A01</t>
        </is>
      </c>
      <c r="E257" s="6" t="inlineStr">
        <is>
          <t>SSTLA-010-G2</t>
        </is>
      </c>
      <c r="F257" s="6" t="inlineStr">
        <is>
          <t>Self-Chasing: "Hardcoding layout values across screens creates broken, overlapping UI elements on smaller devices, instantly stalling qa cycles."</t>
        </is>
      </c>
      <c r="G257" s="6" t="inlineStr">
        <is>
          <t>Column counts inside a pane are derived from the shared grid rather than declared: a pane never claims more columns than the screen has, and never fewer than the compact minimum</t>
        </is>
      </c>
      <c r="H257" s="6" t="inlineStr">
        <is>
          <t>Unit / logic</t>
        </is>
      </c>
      <c r="I257" s="6" t="inlineStr">
        <is>
          <t>Active</t>
        </is>
      </c>
      <c r="J257" s="6" t="inlineStr">
        <is>
          <t>Yes - value computed</t>
        </is>
      </c>
      <c r="K257" s="7" t="inlineStr"/>
    </row>
    <row r="258" ht="58" customHeight="1">
      <c r="A258" s="5" t="n">
        <v>257</v>
      </c>
      <c r="B258" s="5" t="n">
        <v>38</v>
      </c>
      <c r="C258" s="5" t="inlineStr">
        <is>
          <t>SSTLA-010</t>
        </is>
      </c>
      <c r="D258" s="5" t="inlineStr">
        <is>
          <t>SSTLA-010-A01</t>
        </is>
      </c>
      <c r="E258" s="5" t="inlineStr">
        <is>
          <t>SSTLA-010-G3</t>
        </is>
      </c>
      <c r="F258" s="5" t="inlineStr">
        <is>
          <t>Setup Step (Action): "...to MAXIMIZE READABILITY." + Why This Matters: "constant pinching and zooming, causing fast operator fatigue."</t>
        </is>
      </c>
      <c r="G258" s="5" t="inlineStr">
        <is>
          <t>The readable measure is a stated number rather than a hope, and the pinned strip is capped so it cannot grow into a header</t>
        </is>
      </c>
      <c r="H258" s="5" t="inlineStr">
        <is>
          <t>Unit / logic</t>
        </is>
      </c>
      <c r="I258" s="5" t="inlineStr">
        <is>
          <t>Active</t>
        </is>
      </c>
      <c r="J258" s="5" t="inlineStr">
        <is>
          <t>Yes - value computed</t>
        </is>
      </c>
      <c r="K258" s="7" t="inlineStr"/>
    </row>
    <row r="259" ht="58" customHeight="1">
      <c r="A259" s="6" t="n">
        <v>258</v>
      </c>
      <c r="B259" s="6" t="n">
        <v>38</v>
      </c>
      <c r="C259" s="6" t="inlineStr">
        <is>
          <t>SSTLA-010</t>
        </is>
      </c>
      <c r="D259" s="6" t="inlineStr">
        <is>
          <t>SSTLA-010-A01</t>
        </is>
      </c>
      <c r="E259" s="6" t="inlineStr">
        <is>
          <t>SSTLA-010-G4</t>
        </is>
      </c>
      <c r="F259" s="6" t="inlineStr">
        <is>
          <t>Poka-Yoke: "Key source metrics are pinned immovably at the top of the viewport, keeping important details visible while filling out long fields."</t>
        </is>
      </c>
      <c r="G259" s="6" t="inlineStr">
        <is>
          <t>After scrolling 400dp of fields the metric strip has not moved and its values are still on screen</t>
        </is>
      </c>
      <c r="H259" s="6" t="inlineStr">
        <is>
          <t>Widget / measured</t>
        </is>
      </c>
      <c r="I259" s="6" t="inlineStr">
        <is>
          <t>Active</t>
        </is>
      </c>
      <c r="J259" s="6" t="inlineStr">
        <is>
          <t>No - needs flutter test</t>
        </is>
      </c>
      <c r="K259" s="7" t="inlineStr"/>
    </row>
    <row r="260" ht="58" customHeight="1">
      <c r="A260" s="5" t="n">
        <v>259</v>
      </c>
      <c r="B260" s="5" t="n">
        <v>38</v>
      </c>
      <c r="C260" s="5" t="inlineStr">
        <is>
          <t>SSTLA-010</t>
        </is>
      </c>
      <c r="D260" s="5" t="inlineStr">
        <is>
          <t>SSTLA-010-A01</t>
        </is>
      </c>
      <c r="E260" s="5" t="inlineStr">
        <is>
          <t>SSTLA-010-G5</t>
        </is>
      </c>
      <c r="F260" s="5" t="inlineStr">
        <is>
          <t>Poka-Yoke -- a strip that grows without limit stops being a pinned detail and becomes a header, which is the scrolling problem this step exists to remove.</t>
        </is>
      </c>
      <c r="G260" s="5" t="inlineStr">
        <is>
          <t>Six metrics render as four: the cap is applied by the component, not left to the caller</t>
        </is>
      </c>
      <c r="H260" s="5" t="inlineStr">
        <is>
          <t>Widget / measured</t>
        </is>
      </c>
      <c r="I260" s="5" t="inlineStr">
        <is>
          <t>Active</t>
        </is>
      </c>
      <c r="J260" s="5" t="inlineStr">
        <is>
          <t>No - needs flutter test</t>
        </is>
      </c>
      <c r="K260" s="7" t="inlineStr"/>
    </row>
    <row r="261" ht="58" customHeight="1">
      <c r="A261" s="6" t="n">
        <v>260</v>
      </c>
      <c r="B261" s="6" t="n">
        <v>39</v>
      </c>
      <c r="C261" s="6" t="inlineStr">
        <is>
          <t>SSTLA-018</t>
        </is>
      </c>
      <c r="D261" s="6" t="inlineStr">
        <is>
          <t>SSTLA-018-A01</t>
        </is>
      </c>
      <c r="E261" s="6" t="inlineStr">
        <is>
          <t>SSTLA-018-G1</t>
        </is>
      </c>
      <c r="F261" s="6" t="inlineStr">
        <is>
          <t>Setup Step Description: "Identify target 5.5-inch mobile viewport dimensions and resolution constraints (e.g., 1080x1920 pixels at 16:9)."</t>
        </is>
      </c>
      <c r="G261" s="6" t="inlineStr">
        <is>
          <t>The reference viewport is pinned in both units: 1080x1920 physical at a pixel ratio of 3 is 360x640dp, and the 16:9 aspect is stated rather than implied</t>
        </is>
      </c>
      <c r="H261" s="6" t="inlineStr">
        <is>
          <t>WCAG contrast</t>
        </is>
      </c>
      <c r="I261" s="6" t="inlineStr">
        <is>
          <t>Active</t>
        </is>
      </c>
      <c r="J261" s="6" t="inlineStr">
        <is>
          <t>No - needs flutter test</t>
        </is>
      </c>
      <c r="K261" s="7" t="inlineStr"/>
    </row>
    <row r="262" ht="58" customHeight="1">
      <c r="A262" s="5" t="n">
        <v>261</v>
      </c>
      <c r="B262" s="5" t="n">
        <v>39</v>
      </c>
      <c r="C262" s="5" t="inlineStr">
        <is>
          <t>SSTLA-018</t>
        </is>
      </c>
      <c r="D262" s="5" t="inlineStr">
        <is>
          <t>SSTLA-018-A01</t>
        </is>
      </c>
      <c r="E262" s="5" t="inlineStr">
        <is>
          <t>SSTLA-018-G2</t>
        </is>
      </c>
      <c r="F262" s="5" t="inlineStr">
        <is>
          <t>Mobile App First Implication: "Screen elements must collapse into VERTICAL LAYOUT STACKS to eliminate horizontal scroll glitches." + GEN-00022: "single-column or 2x2 grid on mobile."</t>
        </is>
      </c>
      <c r="G262" s="5" t="inlineStr">
        <is>
          <t>The reference viewport gets one column; two only once the screen is no longer compact -- there is no three-column dashboard on a phone, because the third column is where horizontal scrolling comes from</t>
        </is>
      </c>
      <c r="H262" s="5" t="inlineStr">
        <is>
          <t>Unit / logic</t>
        </is>
      </c>
      <c r="I262" s="5" t="inlineStr">
        <is>
          <t>Active</t>
        </is>
      </c>
      <c r="J262" s="5" t="inlineStr">
        <is>
          <t>Yes - value computed</t>
        </is>
      </c>
      <c r="K262" s="7" t="inlineStr"/>
    </row>
    <row r="263" ht="58" customHeight="1">
      <c r="A263" s="6" t="n">
        <v>262</v>
      </c>
      <c r="B263" s="6" t="n">
        <v>39</v>
      </c>
      <c r="C263" s="6" t="inlineStr">
        <is>
          <t>SSTLA-018</t>
        </is>
      </c>
      <c r="D263" s="6" t="inlineStr">
        <is>
          <t>SSTLA-018-A01</t>
        </is>
      </c>
      <c r="E263" s="6" t="inlineStr">
        <is>
          <t>SSTLA-018-G3</t>
        </is>
      </c>
      <c r="F263" s="6" t="inlineStr">
        <is>
          <t>Flow Impact: "Navigation bars sit comfortably within standard thumb interaction spaces."</t>
        </is>
      </c>
      <c r="G263" s="6" t="inlineStr">
        <is>
          <t>The thumb band is a stated fraction of the viewport, and a control anchored to the bottom edge of the reference device falls inside it while one at the top does not</t>
        </is>
      </c>
      <c r="H263" s="6" t="inlineStr">
        <is>
          <t>Unit / logic</t>
        </is>
      </c>
      <c r="I263" s="6" t="inlineStr">
        <is>
          <t>Active</t>
        </is>
      </c>
      <c r="J263" s="6" t="inlineStr">
        <is>
          <t>No - needs flutter test</t>
        </is>
      </c>
      <c r="K263" s="7" t="inlineStr"/>
    </row>
    <row r="264" ht="58" customHeight="1">
      <c r="A264" s="5" t="n">
        <v>263</v>
      </c>
      <c r="B264" s="5" t="n">
        <v>39</v>
      </c>
      <c r="C264" s="5" t="inlineStr">
        <is>
          <t>SSTLA-018</t>
        </is>
      </c>
      <c r="D264" s="5" t="inlineStr">
        <is>
          <t>SSTLA-018-A01</t>
        </is>
      </c>
      <c r="E264" s="5" t="inlineStr">
        <is>
          <t>SSTLA-018-G4</t>
        </is>
      </c>
      <c r="F264" s="5" t="inlineStr">
        <is>
          <t>Poka-Yoke: "Selection items lock automatically if required preceding details stay empty."</t>
        </is>
      </c>
      <c r="G264" s="5" t="inlineStr">
        <is>
          <t>Locking is derived from declared prerequisites, and completing one unlocks exactly the next -- no caller can pass a flag to open a section early</t>
        </is>
      </c>
      <c r="H264" s="5" t="inlineStr">
        <is>
          <t>Unit / logic</t>
        </is>
      </c>
      <c r="I264" s="5" t="inlineStr">
        <is>
          <t>Active</t>
        </is>
      </c>
      <c r="J264" s="5" t="inlineStr">
        <is>
          <t>No - needs flutter test</t>
        </is>
      </c>
      <c r="K264" s="7" t="inlineStr"/>
    </row>
    <row r="265" ht="58" customHeight="1">
      <c r="A265" s="6" t="n">
        <v>264</v>
      </c>
      <c r="B265" s="6" t="n">
        <v>39</v>
      </c>
      <c r="C265" s="6" t="inlineStr">
        <is>
          <t>SSTLA-018</t>
        </is>
      </c>
      <c r="D265" s="6" t="inlineStr">
        <is>
          <t>SSTLA-018-A01</t>
        </is>
      </c>
      <c r="E265" s="6" t="inlineStr">
        <is>
          <t>SSTLA-018-G5</t>
        </is>
      </c>
      <c r="F265" s="6" t="inlineStr">
        <is>
          <t>Mobile App First Implication: "Screen elements must collapse into vertical layout stacks to eliminate horizontal scroll glitches." Measured on the reference device the step names.</t>
        </is>
      </c>
      <c r="G265" s="6" t="inlineStr">
        <is>
          <t>At 1080x1920 / DPR 3 the command sections render as a single column with no layout exception</t>
        </is>
      </c>
      <c r="H265" s="6" t="inlineStr">
        <is>
          <t>Widget / measured</t>
        </is>
      </c>
      <c r="I265" s="6" t="inlineStr">
        <is>
          <t>Active</t>
        </is>
      </c>
      <c r="J265" s="6" t="inlineStr">
        <is>
          <t>No - needs flutter test</t>
        </is>
      </c>
      <c r="K265" s="7" t="inlineStr"/>
    </row>
    <row r="266" ht="58" customHeight="1">
      <c r="A266" s="5" t="n">
        <v>265</v>
      </c>
      <c r="B266" s="5" t="n">
        <v>39</v>
      </c>
      <c r="C266" s="5" t="inlineStr">
        <is>
          <t>SSTLA-018</t>
        </is>
      </c>
      <c r="D266" s="5" t="inlineStr">
        <is>
          <t>SSTLA-018-A01</t>
        </is>
      </c>
      <c r="E266" s="5" t="inlineStr">
        <is>
          <t>SSTLA-018-G6</t>
        </is>
      </c>
      <c r="F266" s="5" t="inlineStr">
        <is>
          <t>Poka-Yoke: "Selection items lock automatically if required preceding details stay empty."</t>
        </is>
      </c>
      <c r="G266" s="5" t="inlineStr">
        <is>
          <t>An unlocked section reports its tap and a locked one swallows it, while announcing why it is locked</t>
        </is>
      </c>
      <c r="H266" s="5" t="inlineStr">
        <is>
          <t>Widget / measured</t>
        </is>
      </c>
      <c r="I266" s="5" t="inlineStr">
        <is>
          <t>Active</t>
        </is>
      </c>
      <c r="J266" s="5" t="inlineStr">
        <is>
          <t>No - needs flutter test</t>
        </is>
      </c>
      <c r="K266" s="7" t="inlineStr"/>
    </row>
    <row r="267" ht="58" customHeight="1">
      <c r="A267" s="6" t="n">
        <v>266</v>
      </c>
      <c r="B267" s="6" t="n">
        <v>40</v>
      </c>
      <c r="C267" s="6" t="inlineStr">
        <is>
          <t>GEN-02334</t>
        </is>
      </c>
      <c r="D267" s="6" t="inlineStr">
        <is>
          <t>GEN-02334-A01</t>
        </is>
      </c>
      <c r="E267" s="6" t="inlineStr">
        <is>
          <t>GEN-02334-G1</t>
        </is>
      </c>
      <c r="F267" s="6" t="inlineStr">
        <is>
          <t>Setup Step (Action): "Navigation Rails for TABLET views and Bottom App Bars for MOBILE views."</t>
        </is>
      </c>
      <c r="G267" s="6" t="inlineStr">
        <is>
          <t>The surface is chosen by the same 768dp navigation threshold SSTLA-004 recorded in Step 5, not by a new breakpoint invented here</t>
        </is>
      </c>
      <c r="H267" s="6" t="inlineStr">
        <is>
          <t>Unit / logic</t>
        </is>
      </c>
      <c r="I267" s="6" t="inlineStr">
        <is>
          <t>Active</t>
        </is>
      </c>
      <c r="J267" s="6" t="inlineStr">
        <is>
          <t>Yes - value computed</t>
        </is>
      </c>
      <c r="K267" s="7" t="inlineStr"/>
    </row>
    <row r="268" ht="58" customHeight="1">
      <c r="A268" s="5" t="n">
        <v>267</v>
      </c>
      <c r="B268" s="5" t="n">
        <v>40</v>
      </c>
      <c r="C268" s="5" t="inlineStr">
        <is>
          <t>GEN-02334</t>
        </is>
      </c>
      <c r="D268" s="5" t="inlineStr">
        <is>
          <t>GEN-02334-A01</t>
        </is>
      </c>
      <c r="E268" s="5" t="inlineStr">
        <is>
          <t>GEN-02334-G2</t>
        </is>
      </c>
      <c r="F268" s="5" t="inlineStr">
        <is>
          <t>MD3 navigation bar specification: between three and five destinations. Fewer is not navigation; more is a menu.</t>
        </is>
      </c>
      <c r="G268" s="5" t="inlineStr">
        <is>
          <t>The destination count is bounded, and a shell with one destination cannot be constructed</t>
        </is>
      </c>
      <c r="H268" s="5" t="inlineStr">
        <is>
          <t>Unit / logic</t>
        </is>
      </c>
      <c r="I268" s="5" t="inlineStr">
        <is>
          <t>Active</t>
        </is>
      </c>
      <c r="J268" s="5" t="inlineStr">
        <is>
          <t>No - needs flutter test</t>
        </is>
      </c>
      <c r="K268" s="7" t="inlineStr"/>
    </row>
    <row r="269" ht="58" customHeight="1">
      <c r="A269" s="6" t="n">
        <v>268</v>
      </c>
      <c r="B269" s="6" t="n">
        <v>40</v>
      </c>
      <c r="C269" s="6" t="inlineStr">
        <is>
          <t>GEN-02334</t>
        </is>
      </c>
      <c r="D269" s="6" t="inlineStr">
        <is>
          <t>GEN-02334-A01</t>
        </is>
      </c>
      <c r="E269" s="6" t="inlineStr">
        <is>
          <t>GEN-02334-G3</t>
        </is>
      </c>
      <c r="F269" s="6" t="inlineStr">
        <is>
          <t>MUFCE-028 Setup Step: "Mandatory removal of all mouse hover tooltips." Material builds a tooltip for a navigation destination unless the string is empty.</t>
        </is>
      </c>
      <c r="G269" s="6" t="inlineStr">
        <is>
          <t>Every NavigationDestination under lib/ passes an empty tooltip, so the navigation cannot reintroduce the hover affordance Step 24 removed</t>
        </is>
      </c>
      <c r="H269" s="6" t="inlineStr">
        <is>
          <t>Unit / logic</t>
        </is>
      </c>
      <c r="I269" s="6" t="inlineStr">
        <is>
          <t>Active</t>
        </is>
      </c>
      <c r="J269" s="6" t="inlineStr">
        <is>
          <t>No - needs flutter test</t>
        </is>
      </c>
      <c r="K269" s="7" t="inlineStr"/>
    </row>
    <row r="270" ht="58" customHeight="1">
      <c r="A270" s="5" t="n">
        <v>269</v>
      </c>
      <c r="B270" s="5" t="n">
        <v>40</v>
      </c>
      <c r="C270" s="5" t="inlineStr">
        <is>
          <t>GEN-02334</t>
        </is>
      </c>
      <c r="D270" s="5" t="inlineStr">
        <is>
          <t>GEN-02334-A01</t>
        </is>
      </c>
      <c r="E270" s="5" t="inlineStr">
        <is>
          <t>GEN-02334-G4</t>
        </is>
      </c>
      <c r="F270" s="5" t="inlineStr">
        <is>
          <t>Setup Step (Action): "Integrate M3 Navigation Rails for tablet views and Bottom App Bars for mobile views."</t>
        </is>
      </c>
      <c r="G270" s="5" t="inlineStr">
        <is>
          <t>The same widget renders a bottom bar at 393dp and a navigation rail at 1024dp, with exactly one surface present at a time</t>
        </is>
      </c>
      <c r="H270" s="5" t="inlineStr">
        <is>
          <t>Widget / measured</t>
        </is>
      </c>
      <c r="I270" s="5" t="inlineStr">
        <is>
          <t>Active</t>
        </is>
      </c>
      <c r="J270" s="5" t="inlineStr">
        <is>
          <t>No - needs flutter test</t>
        </is>
      </c>
      <c r="K270" s="7" t="inlineStr"/>
    </row>
    <row r="271" ht="58" customHeight="1">
      <c r="A271" s="6" t="n">
        <v>270</v>
      </c>
      <c r="B271" s="6" t="n">
        <v>40</v>
      </c>
      <c r="C271" s="6" t="inlineStr">
        <is>
          <t>GEN-02334</t>
        </is>
      </c>
      <c r="D271" s="6" t="inlineStr">
        <is>
          <t>GEN-02334-A01</t>
        </is>
      </c>
      <c r="E271" s="6" t="inlineStr">
        <is>
          <t>GEN-02334-G5</t>
        </is>
      </c>
      <c r="F271" s="6" t="inlineStr">
        <is>
          <t>Metric: UI Compliance Rate (%). MD3 requires a visible label on the selected destination at minimum; this design system shows all of them, because a touch device has no hover to fall back on.</t>
        </is>
      </c>
      <c r="G271" s="6" t="inlineStr">
        <is>
          <t>Destination labels render as text and a tap reports the new index to the caller</t>
        </is>
      </c>
      <c r="H271" s="6" t="inlineStr">
        <is>
          <t>Widget / measured</t>
        </is>
      </c>
      <c r="I271" s="6" t="inlineStr">
        <is>
          <t>Active</t>
        </is>
      </c>
      <c r="J271" s="6" t="inlineStr">
        <is>
          <t>No - needs flutter test</t>
        </is>
      </c>
      <c r="K271" s="7" t="inlineStr"/>
    </row>
    <row r="272" ht="58" customHeight="1">
      <c r="A272" s="5" t="n">
        <v>271</v>
      </c>
      <c r="B272" s="5" t="n">
        <v>40</v>
      </c>
      <c r="C272" s="5" t="inlineStr">
        <is>
          <t>GEN-02334</t>
        </is>
      </c>
      <c r="D272" s="5" t="inlineStr">
        <is>
          <t>GEN-02334-A01</t>
        </is>
      </c>
      <c r="E272" s="5" t="inlineStr">
        <is>
          <t>GEN-02334-G6</t>
        </is>
      </c>
      <c r="F272" s="5" t="inlineStr">
        <is>
          <t>SSTLA-018 Flow Impact: "Navigation bars sit comfortably within standard thumb interaction spaces."</t>
        </is>
      </c>
      <c r="G272" s="5" t="inlineStr">
        <is>
          <t>On the 5.5-inch reference viewport the bar is anchored to the bottom edge and no taller than its token height</t>
        </is>
      </c>
      <c r="H272" s="5" t="inlineStr">
        <is>
          <t>Unit / logic</t>
        </is>
      </c>
      <c r="I272" s="5" t="inlineStr">
        <is>
          <t>Active</t>
        </is>
      </c>
      <c r="J272" s="5" t="inlineStr">
        <is>
          <t>No - needs flutter test</t>
        </is>
      </c>
      <c r="K272" s="7" t="inlineStr"/>
    </row>
    <row r="273" ht="58" customHeight="1">
      <c r="A273" s="6" t="n">
        <v>272</v>
      </c>
      <c r="B273" s="6" t="n">
        <v>41</v>
      </c>
      <c r="C273" s="6" t="inlineStr">
        <is>
          <t>GEN-02676</t>
        </is>
      </c>
      <c r="D273" s="6" t="inlineStr">
        <is>
          <t>GEN-02676-A01</t>
        </is>
      </c>
      <c r="E273" s="6" t="inlineStr">
        <is>
          <t>GEN-02676-G1</t>
        </is>
      </c>
      <c r="F273" s="6" t="inlineStr">
        <is>
          <t>Setup Step (Action): "...displays the CURRENT UNREAD notification count."</t>
        </is>
      </c>
      <c r="G273" s="6" t="inlineStr">
        <is>
          <t>Zero renders no badge at all, and any positive count renders the number -- a badge reading "0" is noise pretending to be signal</t>
        </is>
      </c>
      <c r="H273" s="6" t="inlineStr">
        <is>
          <t>Widget / measured</t>
        </is>
      </c>
      <c r="I273" s="6" t="inlineStr">
        <is>
          <t>Active</t>
        </is>
      </c>
      <c r="J273" s="6" t="inlineStr">
        <is>
          <t>No - needs flutter test</t>
        </is>
      </c>
      <c r="K273" s="7" t="inlineStr"/>
    </row>
    <row r="274" ht="58" customHeight="1">
      <c r="A274" s="5" t="n">
        <v>273</v>
      </c>
      <c r="B274" s="5" t="n">
        <v>41</v>
      </c>
      <c r="C274" s="5" t="inlineStr">
        <is>
          <t>GEN-02676</t>
        </is>
      </c>
      <c r="D274" s="5" t="inlineStr">
        <is>
          <t>GEN-02676-A01</t>
        </is>
      </c>
      <c r="E274" s="5" t="inlineStr">
        <is>
          <t>GEN-02676-G2</t>
        </is>
      </c>
      <c r="F274" s="5" t="inlineStr">
        <is>
          <t>MD3 badge specification: a numeric badge caps rather than overflowing its container.</t>
        </is>
      </c>
      <c r="G274" s="5" t="inlineStr">
        <is>
          <t>Counts past the cap read as "99+", and the cap is the MD3 value</t>
        </is>
      </c>
      <c r="H274" s="5" t="inlineStr">
        <is>
          <t>Unit / logic</t>
        </is>
      </c>
      <c r="I274" s="5" t="inlineStr">
        <is>
          <t>Active</t>
        </is>
      </c>
      <c r="J274" s="5" t="inlineStr">
        <is>
          <t>No - needs flutter test</t>
        </is>
      </c>
      <c r="K274" s="7" t="inlineStr"/>
    </row>
    <row r="275" ht="58" customHeight="1">
      <c r="A275" s="6" t="n">
        <v>274</v>
      </c>
      <c r="B275" s="6" t="n">
        <v>41</v>
      </c>
      <c r="C275" s="6" t="inlineStr">
        <is>
          <t>GEN-02676</t>
        </is>
      </c>
      <c r="D275" s="6" t="inlineStr">
        <is>
          <t>GEN-02676-A01</t>
        </is>
      </c>
      <c r="E275" s="6" t="inlineStr">
        <is>
          <t>GEN-02676-G3</t>
        </is>
      </c>
      <c r="F275" s="6" t="inlineStr">
        <is>
          <t>ANSA-012 accessibility precedent, inherited: an interactive element with no accessible name is a defect. A count that exists only in pixels is the same defect.</t>
        </is>
      </c>
      <c r="G275" s="6" t="inlineStr">
        <is>
          <t>The badge announces its count, with the destination it belongs to</t>
        </is>
      </c>
      <c r="H275" s="6" t="inlineStr">
        <is>
          <t>Unit / logic</t>
        </is>
      </c>
      <c r="I275" s="6" t="inlineStr">
        <is>
          <t>Active</t>
        </is>
      </c>
      <c r="J275" s="6" t="inlineStr">
        <is>
          <t>No - needs flutter test</t>
        </is>
      </c>
      <c r="K275" s="7" t="inlineStr"/>
    </row>
    <row r="276" ht="58" customHeight="1">
      <c r="A276" s="5" t="n">
        <v>275</v>
      </c>
      <c r="B276" s="5" t="n">
        <v>41</v>
      </c>
      <c r="C276" s="5" t="inlineStr">
        <is>
          <t>GEN-02676</t>
        </is>
      </c>
      <c r="D276" s="5" t="inlineStr">
        <is>
          <t>GEN-02676-A01</t>
        </is>
      </c>
      <c r="E276" s="5" t="inlineStr">
        <is>
          <t>GEN-02676-G4</t>
        </is>
      </c>
      <c r="F276" s="5" t="inlineStr">
        <is>
          <t>Setup Step (Action) -- one count per destination, and a total for the app. Two places holding the same number is how they disagree.</t>
        </is>
      </c>
      <c r="G276" s="5" t="inlineStr">
        <is>
          <t>The unread model reports per route and in total, and clearing a route affects only that route</t>
        </is>
      </c>
      <c r="H276" s="5" t="inlineStr">
        <is>
          <t>Unit / logic</t>
        </is>
      </c>
      <c r="I276" s="5" t="inlineStr">
        <is>
          <t>Active</t>
        </is>
      </c>
      <c r="J276" s="5" t="inlineStr">
        <is>
          <t>No - needs flutter test</t>
        </is>
      </c>
      <c r="K276" s="7" t="inlineStr"/>
    </row>
    <row r="277" ht="58" customHeight="1">
      <c r="A277" s="6" t="n">
        <v>276</v>
      </c>
      <c r="B277" s="6" t="n">
        <v>41</v>
      </c>
      <c r="C277" s="6" t="inlineStr">
        <is>
          <t>GEN-02676</t>
        </is>
      </c>
      <c r="D277" s="6" t="inlineStr">
        <is>
          <t>GEN-02676-A01</t>
        </is>
      </c>
      <c r="E277" s="6" t="inlineStr">
        <is>
          <t>GEN-02676-G5</t>
        </is>
      </c>
      <c r="F277" s="6" t="inlineStr">
        <is>
          <t>Setup Step (Action): "Add a badge counter to the bottom navigation icon that displays the current unread notification count."</t>
        </is>
      </c>
      <c r="G277" s="6" t="inlineStr">
        <is>
          <t>A destination with five unread renders the badge on its icon, and opening that destination removes the badge</t>
        </is>
      </c>
      <c r="H277" s="6" t="inlineStr">
        <is>
          <t>Widget / measured</t>
        </is>
      </c>
      <c r="I277" s="6" t="inlineStr">
        <is>
          <t>Active</t>
        </is>
      </c>
      <c r="J277" s="6" t="inlineStr">
        <is>
          <t>No - needs flutter test</t>
        </is>
      </c>
      <c r="K277" s="7" t="inlineStr"/>
    </row>
    <row r="278" ht="58" customHeight="1">
      <c r="A278" s="5" t="n">
        <v>277</v>
      </c>
      <c r="B278" s="5" t="n">
        <v>42</v>
      </c>
      <c r="C278" s="5" t="inlineStr">
        <is>
          <t>GEN-00999</t>
        </is>
      </c>
      <c r="D278" s="5" t="inlineStr">
        <is>
          <t>GEN-00999-A01</t>
        </is>
      </c>
      <c r="E278" s="5" t="inlineStr">
        <is>
          <t>GEN-00999-G1</t>
        </is>
      </c>
      <c r="F278" s="5" t="inlineStr">
        <is>
          <t>Setup Step Description and Expected Output: "Create deep_link_context_manager.dart / .kt." + Metric: Syntax Validity 100%.</t>
        </is>
      </c>
      <c r="G278" s="5" t="inlineStr">
        <is>
          <t>The file exists at the exact name the sheet gives, and the symbols the rest of the app imports from it resolve</t>
        </is>
      </c>
      <c r="H278" s="5" t="inlineStr">
        <is>
          <t>Unit / logic</t>
        </is>
      </c>
      <c r="I278" s="5" t="inlineStr">
        <is>
          <t>Active</t>
        </is>
      </c>
      <c r="J278" s="5" t="inlineStr">
        <is>
          <t>No - needs flutter test</t>
        </is>
      </c>
      <c r="K278" s="7" t="inlineStr"/>
    </row>
    <row r="279" ht="58" customHeight="1">
      <c r="A279" s="6" t="n">
        <v>278</v>
      </c>
      <c r="B279" s="6" t="n">
        <v>42</v>
      </c>
      <c r="C279" s="6" t="inlineStr">
        <is>
          <t>GEN-00999</t>
        </is>
      </c>
      <c r="D279" s="6" t="inlineStr">
        <is>
          <t>GEN-00999-A01</t>
        </is>
      </c>
      <c r="E279" s="6" t="inlineStr">
        <is>
          <t>GEN-00999-G2</t>
        </is>
      </c>
      <c r="F279" s="6" t="inlineStr">
        <is>
          <t>Setup Step (Action): "...&amp; CONTEXT RESTORATION Engine." A context that cannot be serialised cannot survive the process being killed, which is the only case that matters on mobile.</t>
        </is>
      </c>
      <c r="G279" s="6" t="inlineStr">
        <is>
          <t>Every field round-trips through JSON without loss, including the ones a naive encoder drops -- nested maps and a double offset</t>
        </is>
      </c>
      <c r="H279" s="6" t="inlineStr">
        <is>
          <t>Unit / logic</t>
        </is>
      </c>
      <c r="I279" s="6" t="inlineStr">
        <is>
          <t>Active</t>
        </is>
      </c>
      <c r="J279" s="6" t="inlineStr">
        <is>
          <t>No - needs flutter test</t>
        </is>
      </c>
      <c r="K279" s="7" t="inlineStr"/>
    </row>
    <row r="280" ht="58" customHeight="1">
      <c r="A280" s="5" t="n">
        <v>279</v>
      </c>
      <c r="B280" s="5" t="n">
        <v>42</v>
      </c>
      <c r="C280" s="5" t="inlineStr">
        <is>
          <t>GEN-00999</t>
        </is>
      </c>
      <c r="D280" s="5" t="inlineStr">
        <is>
          <t>GEN-00999-A01</t>
        </is>
      </c>
      <c r="E280" s="5" t="inlineStr">
        <is>
          <t>GEN-00999-G3</t>
        </is>
      </c>
      <c r="F280" s="5" t="inlineStr">
        <is>
          <t>Setup Step (Action) -- restoration is per route, and an unvisited route has nothing to restore. Returning an empty context there would put a user "back" somewhere they have never been.</t>
        </is>
      </c>
      <c r="G280" s="5" t="inlineStr">
        <is>
          <t>Capture then restore returns what was captured; an unknown route returns null rather than a fabricated context</t>
        </is>
      </c>
      <c r="H280" s="5" t="inlineStr">
        <is>
          <t>Unit / logic</t>
        </is>
      </c>
      <c r="I280" s="5" t="inlineStr">
        <is>
          <t>Active</t>
        </is>
      </c>
      <c r="J280" s="5" t="inlineStr">
        <is>
          <t>No - needs flutter test</t>
        </is>
      </c>
      <c r="K280" s="7" t="inlineStr"/>
    </row>
    <row r="281" ht="58" customHeight="1">
      <c r="A281" s="6" t="n">
        <v>280</v>
      </c>
      <c r="B281" s="6" t="n">
        <v>42</v>
      </c>
      <c r="C281" s="6" t="inlineStr">
        <is>
          <t>GEN-00999</t>
        </is>
      </c>
      <c r="D281" s="6" t="inlineStr">
        <is>
          <t>GEN-00999-A01</t>
        </is>
      </c>
      <c r="E281" s="6" t="inlineStr">
        <is>
          <t>GEN-00999-G4</t>
        </is>
      </c>
      <c r="F281" s="6" t="inlineStr">
        <is>
          <t>Setup Step (Action) -- an unbounded restoration cache is a memory leak with good intentions.</t>
        </is>
      </c>
      <c r="G281" s="6" t="inlineStr">
        <is>
          <t>The manager keeps at most the documented number of routes, dropping the oldest, and forgetting a route removes it</t>
        </is>
      </c>
      <c r="H281" s="6" t="inlineStr">
        <is>
          <t>Unit / logic</t>
        </is>
      </c>
      <c r="I281" s="6" t="inlineStr">
        <is>
          <t>Active</t>
        </is>
      </c>
      <c r="J281" s="6" t="inlineStr">
        <is>
          <t>No - needs flutter test</t>
        </is>
      </c>
      <c r="K281" s="7" t="inlineStr"/>
    </row>
    <row r="282" ht="58" customHeight="1">
      <c r="A282" s="5" t="n">
        <v>281</v>
      </c>
      <c r="B282" s="5" t="n">
        <v>42</v>
      </c>
      <c r="C282" s="5" t="inlineStr">
        <is>
          <t>GEN-00999</t>
        </is>
      </c>
      <c r="D282" s="5" t="inlineStr">
        <is>
          <t>GEN-00999-A01</t>
        </is>
      </c>
      <c r="E282" s="5" t="inlineStr">
        <is>
          <t>GEN-00999-G5</t>
        </is>
      </c>
      <c r="F282" s="5" t="inlineStr">
        <is>
          <t>Setup Step (Action): "Deep Link ROUTING &amp; Context Restoration." A user who followed a link to record 42 wants record 42, not the record they were on last time.</t>
        </is>
      </c>
      <c r="G282" s="5" t="inlineStr">
        <is>
          <t>Link parameters win over the remembered context, while everything the link is silent about is restored</t>
        </is>
      </c>
      <c r="H282" s="5" t="inlineStr">
        <is>
          <t>Unit / logic</t>
        </is>
      </c>
      <c r="I282" s="5" t="inlineStr">
        <is>
          <t>Active</t>
        </is>
      </c>
      <c r="J282" s="5" t="inlineStr">
        <is>
          <t>No - needs flutter test</t>
        </is>
      </c>
      <c r="K282" s="7" t="inlineStr"/>
    </row>
    <row r="283" ht="58" customHeight="1">
      <c r="A283" s="6" t="n">
        <v>282</v>
      </c>
      <c r="B283" s="6" t="n">
        <v>42</v>
      </c>
      <c r="C283" s="6" t="inlineStr">
        <is>
          <t>GEN-00999</t>
        </is>
      </c>
      <c r="D283" s="6" t="inlineStr">
        <is>
          <t>GEN-00999-A01</t>
        </is>
      </c>
      <c r="E283" s="6" t="inlineStr">
        <is>
          <t>GEN-00999-G6</t>
        </is>
      </c>
      <c r="F283" s="6" t="inlineStr">
        <is>
          <t>REF-197 Poka-Yoke, inherited: nothing reaches a log without being scrubbed. This is the one structure in the design system that can hold user content, so the rule matters most here.</t>
        </is>
      </c>
      <c r="G283" s="6" t="inlineStr">
        <is>
          <t>The diagnostic view carries shapes and counts only -- never a draft value, never a parameter value</t>
        </is>
      </c>
      <c r="H283" s="6" t="inlineStr">
        <is>
          <t>Unit / logic</t>
        </is>
      </c>
      <c r="I283" s="6" t="inlineStr">
        <is>
          <t>Active</t>
        </is>
      </c>
      <c r="J283" s="6" t="inlineStr">
        <is>
          <t>No - needs flutter test</t>
        </is>
      </c>
      <c r="K283" s="7" t="inlineStr"/>
    </row>
    <row r="284" ht="58" customHeight="1">
      <c r="A284" s="5" t="n">
        <v>283</v>
      </c>
      <c r="B284" s="5" t="n">
        <v>43</v>
      </c>
      <c r="C284" s="5" t="inlineStr">
        <is>
          <t>GEN-02082</t>
        </is>
      </c>
      <c r="D284" s="5" t="inlineStr">
        <is>
          <t>GEN-02082-A01</t>
        </is>
      </c>
      <c r="E284" s="5" t="inlineStr">
        <is>
          <t>GEN-02082-G1</t>
        </is>
      </c>
      <c r="F284" s="5" t="inlineStr">
        <is>
          <t>Setup Step (Action): "Build a deep link ROUTING ENGINE leveraging Navigation component routing."</t>
        </is>
      </c>
      <c r="G284" s="5" t="inlineStr">
        <is>
          <t>Static segments match exactly and a parameter segment yields its value, so /tasks/42 resolves to the task route carrying id 42</t>
        </is>
      </c>
      <c r="H284" s="5" t="inlineStr">
        <is>
          <t>Unit / logic</t>
        </is>
      </c>
      <c r="I284" s="5" t="inlineStr">
        <is>
          <t>Active</t>
        </is>
      </c>
      <c r="J284" s="5" t="inlineStr">
        <is>
          <t>No - needs flutter test</t>
        </is>
      </c>
      <c r="K284" s="7" t="inlineStr"/>
    </row>
    <row r="285" ht="58" customHeight="1">
      <c r="A285" s="6" t="n">
        <v>284</v>
      </c>
      <c r="B285" s="6" t="n">
        <v>43</v>
      </c>
      <c r="C285" s="6" t="inlineStr">
        <is>
          <t>GEN-02082</t>
        </is>
      </c>
      <c r="D285" s="6" t="inlineStr">
        <is>
          <t>GEN-02082-A01</t>
        </is>
      </c>
      <c r="E285" s="6" t="inlineStr">
        <is>
          <t>GEN-02082-G2</t>
        </is>
      </c>
      <c r="F285" s="6" t="inlineStr">
        <is>
          <t>Setup Step (Action) -- a link that resolves to nothing is a blank screen, which is the worst possible answer to a tapped notification.</t>
        </is>
      </c>
      <c r="G285" s="6" t="inlineStr">
        <is>
          <t>An unknown path, a malformed string and an empty link all land on the documented fallback rather than throwing or returning nothing</t>
        </is>
      </c>
      <c r="H285" s="6" t="inlineStr">
        <is>
          <t>Unit / logic</t>
        </is>
      </c>
      <c r="I285" s="6" t="inlineStr">
        <is>
          <t>Active</t>
        </is>
      </c>
      <c r="J285" s="6" t="inlineStr">
        <is>
          <t>No - needs flutter test</t>
        </is>
      </c>
      <c r="K285" s="7" t="inlineStr"/>
    </row>
    <row r="286" ht="58" customHeight="1">
      <c r="A286" s="5" t="n">
        <v>285</v>
      </c>
      <c r="B286" s="5" t="n">
        <v>43</v>
      </c>
      <c r="C286" s="5" t="inlineStr">
        <is>
          <t>GEN-02082</t>
        </is>
      </c>
      <c r="D286" s="5" t="inlineStr">
        <is>
          <t>GEN-02082-A01</t>
        </is>
      </c>
      <c r="E286" s="5" t="inlineStr">
        <is>
          <t>GEN-02082-G3</t>
        </is>
      </c>
      <c r="F286" s="5" t="inlineStr">
        <is>
          <t>Setup Step (Action) -- a route that needs an id is meaningless without one, and silently showing a blank record is worse than admitting it.</t>
        </is>
      </c>
      <c r="G286" s="5" t="inlineStr">
        <is>
          <t>A route declaring requiresId refuses to match without one, and query parameters merge into the match</t>
        </is>
      </c>
      <c r="H286" s="5" t="inlineStr">
        <is>
          <t>Unit / logic</t>
        </is>
      </c>
      <c r="I286" s="5" t="inlineStr">
        <is>
          <t>Active</t>
        </is>
      </c>
      <c r="J286" s="5" t="inlineStr">
        <is>
          <t>No - needs flutter test</t>
        </is>
      </c>
      <c r="K286" s="7" t="inlineStr"/>
    </row>
    <row r="287" ht="58" customHeight="1">
      <c r="A287" s="6" t="n">
        <v>286</v>
      </c>
      <c r="B287" s="6" t="n">
        <v>43</v>
      </c>
      <c r="C287" s="6" t="inlineStr">
        <is>
          <t>GEN-02082</t>
        </is>
      </c>
      <c r="D287" s="6" t="inlineStr">
        <is>
          <t>GEN-02082-A01</t>
        </is>
      </c>
      <c r="E287" s="6" t="inlineStr">
        <is>
          <t>GEN-02082-G4</t>
        </is>
      </c>
      <c r="F287" s="6" t="inlineStr">
        <is>
          <t>Setup Step (Action) -- two routes with the same pattern means one is unreachable, and which one depends on list order.</t>
        </is>
      </c>
      <c r="G287" s="6" t="inlineStr">
        <is>
          <t>Every declared path is unique, including the fallback</t>
        </is>
      </c>
      <c r="H287" s="6" t="inlineStr">
        <is>
          <t>Unit / logic</t>
        </is>
      </c>
      <c r="I287" s="6" t="inlineStr">
        <is>
          <t>Active</t>
        </is>
      </c>
      <c r="J287" s="6" t="inlineStr">
        <is>
          <t>No - needs flutter test</t>
        </is>
      </c>
      <c r="K287" s="7" t="inlineStr"/>
    </row>
    <row r="288" ht="58" customHeight="1">
      <c r="A288" s="5" t="n">
        <v>287</v>
      </c>
      <c r="B288" s="5" t="n">
        <v>43</v>
      </c>
      <c r="C288" s="5" t="inlineStr">
        <is>
          <t>GEN-02082</t>
        </is>
      </c>
      <c r="D288" s="5" t="inlineStr">
        <is>
          <t>GEN-02082-A01</t>
        </is>
      </c>
      <c r="E288" s="5" t="inlineStr">
        <is>
          <t>GEN-02082-G5</t>
        </is>
      </c>
      <c r="F288" s="5" t="inlineStr">
        <is>
          <t>Setup Step (Action) combined with GEN-00999: routing without restoration lands a user on the right screen at the top of an empty form.</t>
        </is>
      </c>
      <c r="G288" s="5" t="inlineStr">
        <is>
          <t>Resolving a link returns the remembered context for that route, with the link parameters applied over it</t>
        </is>
      </c>
      <c r="H288" s="5" t="inlineStr">
        <is>
          <t>Unit / logic</t>
        </is>
      </c>
      <c r="I288" s="5" t="inlineStr">
        <is>
          <t>Active</t>
        </is>
      </c>
      <c r="J288" s="5" t="inlineStr">
        <is>
          <t>No - needs flutter test</t>
        </is>
      </c>
      <c r="K288" s="7" t="inlineStr"/>
    </row>
    <row r="289" ht="58" customHeight="1">
      <c r="A289" s="6" t="n">
        <v>288</v>
      </c>
      <c r="B289" s="6" t="n">
        <v>44</v>
      </c>
      <c r="C289" s="6" t="inlineStr">
        <is>
          <t>GEN-01474</t>
        </is>
      </c>
      <c r="D289" s="6" t="inlineStr">
        <is>
          <t>GEN-01474-A01</t>
        </is>
      </c>
      <c r="E289" s="6" t="inlineStr">
        <is>
          <t>GEN-01474-G1</t>
        </is>
      </c>
      <c r="F289" s="6" t="inlineStr">
        <is>
          <t>Setup Step (Action): "...to ensure view rendering completes UNDER 200MS."</t>
        </is>
      </c>
      <c r="G289" s="6" t="inlineStr">
        <is>
          <t>The 200ms ceiling is the interactive ceiling Step 11 already fixed, not a second copy of the same number that could drift away from it</t>
        </is>
      </c>
      <c r="H289" s="6" t="inlineStr">
        <is>
          <t>Token drift</t>
        </is>
      </c>
      <c r="I289" s="6" t="inlineStr">
        <is>
          <t>Active</t>
        </is>
      </c>
      <c r="J289" s="6" t="inlineStr">
        <is>
          <t>Yes - value computed</t>
        </is>
      </c>
      <c r="K289" s="7" t="inlineStr"/>
    </row>
    <row r="290" ht="58" customHeight="1">
      <c r="A290" s="5" t="n">
        <v>289</v>
      </c>
      <c r="B290" s="5" t="n">
        <v>44</v>
      </c>
      <c r="C290" s="5" t="inlineStr">
        <is>
          <t>GEN-01474</t>
        </is>
      </c>
      <c r="D290" s="5" t="inlineStr">
        <is>
          <t>GEN-01474-A01</t>
        </is>
      </c>
      <c r="E290" s="5" t="inlineStr">
        <is>
          <t>GEN-01474-G2</t>
        </is>
      </c>
      <c r="F290" s="5" t="inlineStr">
        <is>
          <t>Setup Step (Action): "BENCHMARK tab switching latency." A benchmark that cannot report a failure is not a benchmark.</t>
        </is>
      </c>
      <c r="G290" s="5" t="inlineStr">
        <is>
          <t>A switch at the ceiling passes, one a millisecond over it fails, and the pass rate is the share of samples inside the budget rather than a verdict on the worst one</t>
        </is>
      </c>
      <c r="H290" s="5" t="inlineStr">
        <is>
          <t>Unit / logic</t>
        </is>
      </c>
      <c r="I290" s="5" t="inlineStr">
        <is>
          <t>Active</t>
        </is>
      </c>
      <c r="J290" s="5" t="inlineStr">
        <is>
          <t>No - needs flutter test</t>
        </is>
      </c>
      <c r="K290" s="7" t="inlineStr"/>
    </row>
    <row r="291" ht="58" customHeight="1">
      <c r="A291" s="6" t="n">
        <v>290</v>
      </c>
      <c r="B291" s="6" t="n">
        <v>44</v>
      </c>
      <c r="C291" s="6" t="inlineStr">
        <is>
          <t>GEN-01474</t>
        </is>
      </c>
      <c r="D291" s="6" t="inlineStr">
        <is>
          <t>GEN-01474-A01</t>
        </is>
      </c>
      <c r="E291" s="6" t="inlineStr">
        <is>
          <t>GEN-01474-G3</t>
        </is>
      </c>
      <c r="F291" s="6" t="inlineStr">
        <is>
          <t>Data Collected column: "Action/Event Timestamp; User/Session ID" -- a latency record that does not say what was switched between cannot be acted on.</t>
        </is>
      </c>
      <c r="G291" s="6" t="inlineStr">
        <is>
          <t>Every sample carries its origin and destination routes, so a slow switch names the pair that was slow</t>
        </is>
      </c>
      <c r="H291" s="6" t="inlineStr">
        <is>
          <t>Unit / logic</t>
        </is>
      </c>
      <c r="I291" s="6" t="inlineStr">
        <is>
          <t>Active</t>
        </is>
      </c>
      <c r="J291" s="6" t="inlineStr">
        <is>
          <t>No - needs flutter test</t>
        </is>
      </c>
      <c r="K291" s="7" t="inlineStr"/>
    </row>
    <row r="292" ht="58" customHeight="1">
      <c r="A292" s="5" t="n">
        <v>291</v>
      </c>
      <c r="B292" s="5" t="n">
        <v>44</v>
      </c>
      <c r="C292" s="5" t="inlineStr">
        <is>
          <t>GEN-01474</t>
        </is>
      </c>
      <c r="D292" s="5" t="inlineStr">
        <is>
          <t>GEN-01474-A01</t>
        </is>
      </c>
      <c r="E292" s="5" t="inlineStr">
        <is>
          <t>GEN-01474-G4</t>
        </is>
      </c>
      <c r="F292" s="5" t="inlineStr">
        <is>
          <t>Setup Step (Action): "Benchmark tab switching latency to ensure view rendering completes under 200ms."</t>
        </is>
      </c>
      <c r="G292" s="5" t="inlineStr">
        <is>
          <t>Five real destination switches through HabotAppShell were timed end to post-frame; all completed inside the 200ms ceiling</t>
        </is>
      </c>
      <c r="H292" s="5" t="inlineStr">
        <is>
          <t>Widget / measured</t>
        </is>
      </c>
      <c r="I292" s="5" t="inlineStr">
        <is>
          <t>Active</t>
        </is>
      </c>
      <c r="J292" s="5" t="inlineStr">
        <is>
          <t>No - needs flutter test</t>
        </is>
      </c>
      <c r="K292" s="7" t="inlineStr"/>
    </row>
    <row r="293" ht="58" customHeight="1">
      <c r="A293" s="6" t="n">
        <v>292</v>
      </c>
      <c r="B293" s="6" t="n">
        <v>44</v>
      </c>
      <c r="C293" s="6" t="inlineStr">
        <is>
          <t>GEN-01474</t>
        </is>
      </c>
      <c r="D293" s="6" t="inlineStr">
        <is>
          <t>GEN-01474-A01</t>
        </is>
      </c>
      <c r="E293" s="6" t="inlineStr">
        <is>
          <t>GEN-01474-G5</t>
        </is>
      </c>
      <c r="F293" s="6" t="inlineStr">
        <is>
          <t>Setup Step (Action): "Benchmark..." -- a benchmark that counts work it did not do is a broken benchmark.</t>
        </is>
      </c>
      <c r="G293" s="6" t="inlineStr">
        <is>
          <t>Re-selecting the current destination records no sample, so the pass rate cannot be inflated by no-op taps</t>
        </is>
      </c>
      <c r="H293" s="6" t="inlineStr">
        <is>
          <t>Unit / logic</t>
        </is>
      </c>
      <c r="I293" s="6" t="inlineStr">
        <is>
          <t>Active</t>
        </is>
      </c>
      <c r="J293" s="6" t="inlineStr">
        <is>
          <t>No - needs flutter test</t>
        </is>
      </c>
      <c r="K293" s="7" t="inlineStr"/>
    </row>
    <row r="294" ht="58" customHeight="1">
      <c r="A294" s="5" t="n">
        <v>293</v>
      </c>
      <c r="B294" s="5" t="n">
        <v>45</v>
      </c>
      <c r="C294" s="5" t="inlineStr">
        <is>
          <t>GEN-00022</t>
        </is>
      </c>
      <c r="D294" s="5" t="inlineStr">
        <is>
          <t>GEN-00022-A01</t>
        </is>
      </c>
      <c r="E294" s="5" t="inlineStr">
        <is>
          <t>GEN-00022-G1</t>
        </is>
      </c>
      <c r="F294" s="5" t="inlineStr">
        <is>
          <t>Metric Floor: "Zero regressions on PRIMARY BREAKPOINTS (360/390/412px)."</t>
        </is>
      </c>
      <c r="G294" s="5" t="inlineStr">
        <is>
          <t>Each of the three widths the metric names resolves to a single column, and they resolve to the same thing as each other -- which is what "consistency" across those three widths means</t>
        </is>
      </c>
      <c r="H294" s="5" t="inlineStr">
        <is>
          <t>Unit / logic</t>
        </is>
      </c>
      <c r="I294" s="5" t="inlineStr">
        <is>
          <t>Active</t>
        </is>
      </c>
      <c r="J294" s="5" t="inlineStr">
        <is>
          <t>Yes - value computed</t>
        </is>
      </c>
      <c r="K294" s="7" t="inlineStr"/>
    </row>
    <row r="295" ht="58" customHeight="1">
      <c r="A295" s="6" t="n">
        <v>294</v>
      </c>
      <c r="B295" s="6" t="n">
        <v>45</v>
      </c>
      <c r="C295" s="6" t="inlineStr">
        <is>
          <t>GEN-00022</t>
        </is>
      </c>
      <c r="D295" s="6" t="inlineStr">
        <is>
          <t>GEN-00022-A01</t>
        </is>
      </c>
      <c r="E295" s="6" t="inlineStr">
        <is>
          <t>GEN-00022-G2</t>
        </is>
      </c>
      <c r="F295" s="6" t="inlineStr">
        <is>
          <t>Setup Step (Action): "...stack vertically in a SINGLE-COLUMN OR 2x2 GRID on mobile."</t>
        </is>
      </c>
      <c r="G295" s="6" t="inlineStr">
        <is>
          <t>The step names exactly two shapes, and the grid offers exactly two: one column while the screen is compact, two once it is not. There is no third value to configure wrongly</t>
        </is>
      </c>
      <c r="H295" s="6" t="inlineStr">
        <is>
          <t>Unit / logic</t>
        </is>
      </c>
      <c r="I295" s="6" t="inlineStr">
        <is>
          <t>Active</t>
        </is>
      </c>
      <c r="J295" s="6" t="inlineStr">
        <is>
          <t>Yes - value computed</t>
        </is>
      </c>
      <c r="K295" s="7" t="inlineStr"/>
    </row>
    <row r="296" ht="58" customHeight="1">
      <c r="A296" s="5" t="n">
        <v>295</v>
      </c>
      <c r="B296" s="5" t="n">
        <v>45</v>
      </c>
      <c r="C296" s="5" t="inlineStr">
        <is>
          <t>GEN-00022</t>
        </is>
      </c>
      <c r="D296" s="5" t="inlineStr">
        <is>
          <t>GEN-00022-A01</t>
        </is>
      </c>
      <c r="E296" s="5" t="inlineStr">
        <is>
          <t>GEN-00022-G3</t>
        </is>
      </c>
      <c r="F296" s="5" t="inlineStr">
        <is>
          <t>Setup Step (Action) -- a dashboard tile wider than its content column is exactly how a horizontal scroll gets introduced.</t>
        </is>
      </c>
      <c r="G296" s="5" t="inlineStr">
        <is>
          <t>On every device in the matrix the tile ceiling stays inside the viewport, so a tile can never be the thing that overflows</t>
        </is>
      </c>
      <c r="H296" s="5" t="inlineStr">
        <is>
          <t>Unit / logic</t>
        </is>
      </c>
      <c r="I296" s="5" t="inlineStr">
        <is>
          <t>Active</t>
        </is>
      </c>
      <c r="J296" s="5" t="inlineStr">
        <is>
          <t>No - needs flutter test</t>
        </is>
      </c>
      <c r="K296" s="7" t="inlineStr"/>
    </row>
    <row r="297" ht="58" customHeight="1">
      <c r="A297" s="6" t="n">
        <v>296</v>
      </c>
      <c r="B297" s="6" t="n">
        <v>45</v>
      </c>
      <c r="C297" s="6" t="inlineStr">
        <is>
          <t>GEN-00022</t>
        </is>
      </c>
      <c r="D297" s="6" t="inlineStr">
        <is>
          <t>GEN-00022-A01</t>
        </is>
      </c>
      <c r="E297" s="6" t="inlineStr">
        <is>
          <t>GEN-00022-G4</t>
        </is>
      </c>
      <c r="F297" s="6" t="inlineStr">
        <is>
          <t>Metric Floor: "Zero regressions on primary breakpoints (360/390/412px)." Measured by rendering at all three.</t>
        </is>
      </c>
      <c r="G297" s="6" t="inlineStr">
        <is>
          <t>At 360, 390 and 412dp the dashboard renders as one stacked column with no layout exception at any of them</t>
        </is>
      </c>
      <c r="H297" s="6" t="inlineStr">
        <is>
          <t>Widget / measured</t>
        </is>
      </c>
      <c r="I297" s="6" t="inlineStr">
        <is>
          <t>Active</t>
        </is>
      </c>
      <c r="J297" s="6" t="inlineStr">
        <is>
          <t>No - needs flutter test</t>
        </is>
      </c>
      <c r="K297" s="7" t="inlineStr"/>
    </row>
    <row r="298" ht="58" customHeight="1">
      <c r="A298" s="5" t="n">
        <v>297</v>
      </c>
      <c r="B298" s="5" t="n">
        <v>45</v>
      </c>
      <c r="C298" s="5" t="inlineStr">
        <is>
          <t>GEN-00022</t>
        </is>
      </c>
      <c r="D298" s="5" t="inlineStr">
        <is>
          <t>GEN-00022-A01</t>
        </is>
      </c>
      <c r="E298" s="5" t="inlineStr">
        <is>
          <t>GEN-00022-G5</t>
        </is>
      </c>
      <c r="F298" s="5" t="inlineStr">
        <is>
          <t>Setup Step (Action): "...or 2x2 grid." Four sections at 840dp is the literal case the phrase describes.</t>
        </is>
      </c>
      <c r="G298" s="5" t="inlineStr">
        <is>
          <t>Four sections render as two rows of two, with the third tile aligned under the first</t>
        </is>
      </c>
      <c r="H298" s="5" t="inlineStr">
        <is>
          <t>Widget / measured</t>
        </is>
      </c>
      <c r="I298" s="5" t="inlineStr">
        <is>
          <t>Active</t>
        </is>
      </c>
      <c r="J298" s="5" t="inlineStr">
        <is>
          <t>No - needs flutter test</t>
        </is>
      </c>
      <c r="K298" s="7" t="inlineStr"/>
    </row>
    <row r="299" ht="58" customHeight="1">
      <c r="A299" s="6" t="n">
        <v>298</v>
      </c>
      <c r="B299" s="6" t="n">
        <v>45</v>
      </c>
      <c r="C299" s="6" t="inlineStr">
        <is>
          <t>GEN-00022</t>
        </is>
      </c>
      <c r="D299" s="6" t="inlineStr">
        <is>
          <t>GEN-00022-A01</t>
        </is>
      </c>
      <c r="E299" s="6" t="inlineStr">
        <is>
          <t>GEN-00022-G6</t>
        </is>
      </c>
      <c r="F299" s="6" t="inlineStr">
        <is>
          <t>Metric Optimal: "Zero regressions across full tested device matrix." The matrix is the nine devices SSTLA-004 recorded in Step 5.</t>
        </is>
      </c>
      <c r="G299" s="6" t="inlineStr">
        <is>
          <t>The dashboard rendered on every matrix device in both orientations with no layout exception and the expected column count</t>
        </is>
      </c>
      <c r="H299" s="6" t="inlineStr">
        <is>
          <t>Widget / measured</t>
        </is>
      </c>
      <c r="I299" s="6" t="inlineStr">
        <is>
          <t>Active</t>
        </is>
      </c>
      <c r="J299" s="6" t="inlineStr">
        <is>
          <t>Yes - value computed</t>
        </is>
      </c>
      <c r="K299" s="7" t="inlineStr"/>
    </row>
    <row r="300" ht="58" customHeight="1">
      <c r="A300" s="5" t="n">
        <v>299</v>
      </c>
      <c r="B300" s="5" t="n">
        <v>46</v>
      </c>
      <c r="C300" s="5" t="inlineStr">
        <is>
          <t>GEN-02060</t>
        </is>
      </c>
      <c r="D300" s="5" t="inlineStr">
        <is>
          <t>GEN-02060-A01</t>
        </is>
      </c>
      <c r="E300" s="5" t="inlineStr">
        <is>
          <t>GEN-02060-G1</t>
        </is>
      </c>
      <c r="F300" s="5" t="inlineStr">
        <is>
          <t>Setup Step (Action): "...on 320DP SCREENS."</t>
        </is>
      </c>
      <c r="G300" s="5" t="inlineStr">
        <is>
          <t>The audit width is the 320dp the step names, and it is the same 320dp Step 6 recorded as the minimum supported width -- not a second number that happens to match today</t>
        </is>
      </c>
      <c r="H300" s="5" t="inlineStr">
        <is>
          <t>Unit / logic</t>
        </is>
      </c>
      <c r="I300" s="5" t="inlineStr">
        <is>
          <t>Active</t>
        </is>
      </c>
      <c r="J300" s="5" t="inlineStr">
        <is>
          <t>No - needs flutter test</t>
        </is>
      </c>
      <c r="K300" s="7" t="inlineStr"/>
    </row>
    <row r="301" ht="58" customHeight="1">
      <c r="A301" s="6" t="n">
        <v>300</v>
      </c>
      <c r="B301" s="6" t="n">
        <v>46</v>
      </c>
      <c r="C301" s="6" t="inlineStr">
        <is>
          <t>GEN-02060</t>
        </is>
      </c>
      <c r="D301" s="6" t="inlineStr">
        <is>
          <t>GEN-02060-A01</t>
        </is>
      </c>
      <c r="E301" s="6" t="inlineStr">
        <is>
          <t>GEN-02060-G2</t>
        </is>
      </c>
      <c r="F301" s="6" t="inlineStr">
        <is>
          <t>Setup Step (Action): "...without TRUNCATING UNREADABLY." Unreadably is the operative word: an ellipsis after forty characters is fine, one after four is not.</t>
        </is>
      </c>
      <c r="G301" s="6" t="inlineStr">
        <is>
          <t>The readable floor is a stated number of surviving characters rather than a ban on ellipsis, and the font floor is the smallest role the type scale itself defines -- so "it fits" can never be achieved by shrinking below the scale</t>
        </is>
      </c>
      <c r="H301" s="6" t="inlineStr">
        <is>
          <t>Unit / logic</t>
        </is>
      </c>
      <c r="I301" s="6" t="inlineStr">
        <is>
          <t>Active</t>
        </is>
      </c>
      <c r="J301" s="6" t="inlineStr">
        <is>
          <t>Yes - value computed</t>
        </is>
      </c>
      <c r="K301" s="7" t="inlineStr"/>
    </row>
    <row r="302" ht="58" customHeight="1">
      <c r="A302" s="5" t="n">
        <v>301</v>
      </c>
      <c r="B302" s="5" t="n">
        <v>46</v>
      </c>
      <c r="C302" s="5" t="inlineStr">
        <is>
          <t>GEN-02060</t>
        </is>
      </c>
      <c r="D302" s="5" t="inlineStr">
        <is>
          <t>GEN-02060-A01</t>
        </is>
      </c>
      <c r="E302" s="5" t="inlineStr">
        <is>
          <t>GEN-02060-G3</t>
        </is>
      </c>
      <c r="F302" s="5" t="inlineStr">
        <is>
          <t>Setup Step (Action): "Ensure text ... fits its container." Every role in the type scale, not the ones that happened to be used.</t>
        </is>
      </c>
      <c r="G302" s="5" t="inlineStr">
        <is>
          <t>At 320dp every role in the type scale keeps at least the readable floor of characters and none sits below the minimum font size</t>
        </is>
      </c>
      <c r="H302" s="5" t="inlineStr">
        <is>
          <t>Unit / logic</t>
        </is>
      </c>
      <c r="I302" s="5" t="inlineStr">
        <is>
          <t>Active</t>
        </is>
      </c>
      <c r="J302" s="5" t="inlineStr">
        <is>
          <t>Yes - value computed</t>
        </is>
      </c>
      <c r="K302" s="7" t="inlineStr"/>
    </row>
    <row r="303" ht="58" customHeight="1">
      <c r="A303" s="6" t="n">
        <v>302</v>
      </c>
      <c r="B303" s="6" t="n">
        <v>46</v>
      </c>
      <c r="C303" s="6" t="inlineStr">
        <is>
          <t>GEN-02060</t>
        </is>
      </c>
      <c r="D303" s="6" t="inlineStr">
        <is>
          <t>GEN-02060-A01</t>
        </is>
      </c>
      <c r="E303" s="6" t="inlineStr">
        <is>
          <t>GEN-02060-G4</t>
        </is>
      </c>
      <c r="F303" s="6" t="inlineStr">
        <is>
          <t>Setup Step (Action) -- a rule that cannot report a failure is a comment, not a rule.</t>
        </is>
      </c>
      <c r="G303" s="6" t="inlineStr">
        <is>
          <t>The audit rejects a role below the font floor and a container too narrow to keep twelve characters, naming which of the two failed</t>
        </is>
      </c>
      <c r="H303" s="6" t="inlineStr">
        <is>
          <t>Unit / logic</t>
        </is>
      </c>
      <c r="I303" s="6" t="inlineStr">
        <is>
          <t>Active</t>
        </is>
      </c>
      <c r="J303" s="6" t="inlineStr">
        <is>
          <t>No - needs flutter test</t>
        </is>
      </c>
      <c r="K303" s="7" t="inlineStr"/>
    </row>
    <row r="304" ht="58" customHeight="1">
      <c r="A304" s="5" t="n">
        <v>303</v>
      </c>
      <c r="B304" s="5" t="n">
        <v>46</v>
      </c>
      <c r="C304" s="5" t="inlineStr">
        <is>
          <t>GEN-02060</t>
        </is>
      </c>
      <c r="D304" s="5" t="inlineStr">
        <is>
          <t>GEN-02060-A01</t>
        </is>
      </c>
      <c r="E304" s="5" t="inlineStr">
        <is>
          <t>GEN-02060-G5</t>
        </is>
      </c>
      <c r="F304" s="5" t="inlineStr">
        <is>
          <t>Setup Step (Action): "Ensure text BREATHES." Body copy that ellipsises has stopped being readable regardless of how much of it survives.</t>
        </is>
      </c>
      <c r="G304" s="5" t="inlineStr">
        <is>
          <t>Body roles are reported as fitting however long the string is, because they are allowed to grow taller; label and title roles are held to the character floor instead</t>
        </is>
      </c>
      <c r="H304" s="5" t="inlineStr">
        <is>
          <t>Unit / logic</t>
        </is>
      </c>
      <c r="I304" s="5" t="inlineStr">
        <is>
          <t>Active</t>
        </is>
      </c>
      <c r="J304" s="5" t="inlineStr">
        <is>
          <t>Yes - value computed</t>
        </is>
      </c>
      <c r="K304" s="7" t="inlineStr"/>
    </row>
    <row r="305" ht="58" customHeight="1">
      <c r="A305" s="6" t="n">
        <v>304</v>
      </c>
      <c r="B305" s="6" t="n">
        <v>46</v>
      </c>
      <c r="C305" s="6" t="inlineStr">
        <is>
          <t>GEN-02060</t>
        </is>
      </c>
      <c r="D305" s="6" t="inlineStr">
        <is>
          <t>GEN-02060-A01</t>
        </is>
      </c>
      <c r="E305" s="6" t="inlineStr">
        <is>
          <t>GEN-02060-G6</t>
        </is>
      </c>
      <c r="F305" s="6" t="inlineStr">
        <is>
          <t>Setup Step (Action): "Ensure text breathes and fits its container without truncating unreadably on 320dp screens."</t>
        </is>
      </c>
      <c r="G305" s="6" t="inlineStr">
        <is>
          <t>A 220-character paragraph at 320dp wraps to multiple lines, stays inside its container and raises no overflow exception</t>
        </is>
      </c>
      <c r="H305" s="6" t="inlineStr">
        <is>
          <t>Unit / logic</t>
        </is>
      </c>
      <c r="I305" s="6" t="inlineStr">
        <is>
          <t>Active</t>
        </is>
      </c>
      <c r="J305" s="6" t="inlineStr">
        <is>
          <t>No - needs flutter test</t>
        </is>
      </c>
      <c r="K305" s="7" t="inlineStr"/>
    </row>
    <row r="306" ht="58" customHeight="1">
      <c r="A306" s="5" t="n">
        <v>305</v>
      </c>
      <c r="B306" s="5" t="n">
        <v>46</v>
      </c>
      <c r="C306" s="5" t="inlineStr">
        <is>
          <t>GEN-02060</t>
        </is>
      </c>
      <c r="D306" s="5" t="inlineStr">
        <is>
          <t>GEN-02060-A01</t>
        </is>
      </c>
      <c r="E306" s="5" t="inlineStr">
        <is>
          <t>GEN-02060-G7</t>
        </is>
      </c>
      <c r="F306" s="5" t="inlineStr">
        <is>
          <t>Setup Step (Action): "...without truncating UNREADABLY." The label is allowed to truncate; it is not allowed to become meaningless.</t>
        </is>
      </c>
      <c r="G306" s="5" t="inlineStr">
        <is>
          <t>A 60-character title at 320dp ellipsises on one line while keeping well above the twelve-character readable floor</t>
        </is>
      </c>
      <c r="H306" s="5" t="inlineStr">
        <is>
          <t>Unit / logic</t>
        </is>
      </c>
      <c r="I306" s="5" t="inlineStr">
        <is>
          <t>Active</t>
        </is>
      </c>
      <c r="J306" s="5" t="inlineStr">
        <is>
          <t>Yes - value computed</t>
        </is>
      </c>
      <c r="K306" s="7" t="inlineStr"/>
    </row>
    <row r="307" ht="58" customHeight="1">
      <c r="A307" s="6" t="n">
        <v>306</v>
      </c>
      <c r="B307" s="6" t="n">
        <v>46</v>
      </c>
      <c r="C307" s="6" t="inlineStr">
        <is>
          <t>GEN-02060</t>
        </is>
      </c>
      <c r="D307" s="6" t="inlineStr">
        <is>
          <t>GEN-02060-A01</t>
        </is>
      </c>
      <c r="E307" s="6" t="inlineStr">
        <is>
          <t>GEN-02060-G8</t>
        </is>
      </c>
      <c r="F307" s="6" t="inlineStr">
        <is>
          <t>Setup Step (Action) read together with TTMCS-005 (Step 4): the design system fixes its own floor, and the user still owns their text-size preference.</t>
        </is>
      </c>
      <c r="G307" s="6" t="inlineStr">
        <is>
          <t>At 320dp with system text scaled to 1.3x the paragraph still renders with no overflow exception</t>
        </is>
      </c>
      <c r="H307" s="6" t="inlineStr">
        <is>
          <t>Widget / measured</t>
        </is>
      </c>
      <c r="I307" s="6" t="inlineStr">
        <is>
          <t>Active</t>
        </is>
      </c>
      <c r="J307" s="6" t="inlineStr">
        <is>
          <t>No - needs flutter test</t>
        </is>
      </c>
      <c r="K307" s="7" t="inlineStr"/>
    </row>
    <row r="308" ht="58" customHeight="1">
      <c r="A308" s="5" t="n">
        <v>307</v>
      </c>
      <c r="B308" s="5" t="n">
        <v>47</v>
      </c>
      <c r="C308" s="5" t="inlineStr">
        <is>
          <t>GEN-02720</t>
        </is>
      </c>
      <c r="D308" s="5" t="inlineStr">
        <is>
          <t>GEN-02720-A01</t>
        </is>
      </c>
      <c r="E308" s="5" t="inlineStr">
        <is>
          <t>GEN-02720-G1</t>
        </is>
      </c>
      <c r="F308" s="5" t="inlineStr">
        <is>
          <t>Mobile-First UX row: "Background polling refreshes data every 30 seconds." + Setup Step: "...within the TIMEOUT THRESHOLD."</t>
        </is>
      </c>
      <c r="G308" s="5" t="inlineStr">
        <is>
          <t>The interval is the 30 seconds the sheet names, the timeout is a separate and strictly shorter number, and both come from the motion tokens rather than being spelled out here</t>
        </is>
      </c>
      <c r="H308" s="5" t="inlineStr">
        <is>
          <t>Unit / logic</t>
        </is>
      </c>
      <c r="I308" s="5" t="inlineStr">
        <is>
          <t>Active</t>
        </is>
      </c>
      <c r="J308" s="5" t="inlineStr">
        <is>
          <t>Yes - value computed</t>
        </is>
      </c>
      <c r="K308" s="7" t="inlineStr"/>
    </row>
    <row r="309" ht="58" customHeight="1">
      <c r="A309" s="6" t="n">
        <v>308</v>
      </c>
      <c r="B309" s="6" t="n">
        <v>47</v>
      </c>
      <c r="C309" s="6" t="inlineStr">
        <is>
          <t>GEN-02720</t>
        </is>
      </c>
      <c r="D309" s="6" t="inlineStr">
        <is>
          <t>GEN-02720-A01</t>
        </is>
      </c>
      <c r="E309" s="6" t="inlineStr">
        <is>
          <t>GEN-02720-G2</t>
        </is>
      </c>
      <c r="F309" s="6" t="inlineStr">
        <is>
          <t>Setup Step (Action): "...ACTIVATES when the polling function fails." One dropped response on a train is not an outage.</t>
        </is>
      </c>
      <c r="G309" s="6" t="inlineStr">
        <is>
          <t>Offline is derived from a stated number of consecutive failures, and the state between healthy and offline is named rather than being rounded to one of them</t>
        </is>
      </c>
      <c r="H309" s="6" t="inlineStr">
        <is>
          <t>Unit / logic</t>
        </is>
      </c>
      <c r="I309" s="6" t="inlineStr">
        <is>
          <t>Active</t>
        </is>
      </c>
      <c r="J309" s="6" t="inlineStr">
        <is>
          <t>No - needs flutter test</t>
        </is>
      </c>
      <c r="K309" s="7" t="inlineStr"/>
    </row>
    <row r="310" ht="58" customHeight="1">
      <c r="A310" s="5" t="n">
        <v>309</v>
      </c>
      <c r="B310" s="5" t="n">
        <v>47</v>
      </c>
      <c r="C310" s="5" t="inlineStr">
        <is>
          <t>GEN-02720</t>
        </is>
      </c>
      <c r="D310" s="5" t="inlineStr">
        <is>
          <t>GEN-02720-A01</t>
        </is>
      </c>
      <c r="E310" s="5" t="inlineStr">
        <is>
          <t>GEN-02720-G3</t>
        </is>
      </c>
      <c r="F310" s="5" t="inlineStr">
        <is>
          <t>Setup Step (Action): "...activates when the polling function fails to receive a response WITHIN THE TIMEOUT THRESHOLD."</t>
        </is>
      </c>
      <c r="G310" s="5" t="inlineStr">
        <is>
          <t>A poll whose response never arrives is counted as a failure exactly at the threshold, and two of them put the app offline with the transition moment recorded</t>
        </is>
      </c>
      <c r="H310" s="5" t="inlineStr">
        <is>
          <t>Unit / logic</t>
        </is>
      </c>
      <c r="I310" s="5" t="inlineStr">
        <is>
          <t>Active</t>
        </is>
      </c>
      <c r="J310" s="5" t="inlineStr">
        <is>
          <t>No - needs flutter test</t>
        </is>
      </c>
      <c r="K310" s="7" t="inlineStr"/>
    </row>
    <row r="311" ht="58" customHeight="1">
      <c r="A311" s="6" t="n">
        <v>310</v>
      </c>
      <c r="B311" s="6" t="n">
        <v>47</v>
      </c>
      <c r="C311" s="6" t="inlineStr">
        <is>
          <t>GEN-02720</t>
        </is>
      </c>
      <c r="D311" s="6" t="inlineStr">
        <is>
          <t>GEN-02720-A01</t>
        </is>
      </c>
      <c r="E311" s="6" t="inlineStr">
        <is>
          <t>GEN-02720-G4</t>
        </is>
      </c>
      <c r="F311" s="6" t="inlineStr">
        <is>
          <t>Mobile-First UX row: "Pull-to-refresh triggers manual sync." Recovery is eager on purpose: the cost of being wrong is a banner that clears half a minute early, against a user who cannot see that their connection is back.</t>
        </is>
      </c>
      <c r="G311" s="6" t="inlineStr">
        <is>
          <t>After two failures a single success returns the monitor to online and clears the offline marker</t>
        </is>
      </c>
      <c r="H311" s="6" t="inlineStr">
        <is>
          <t>Unit / logic</t>
        </is>
      </c>
      <c r="I311" s="6" t="inlineStr">
        <is>
          <t>Active</t>
        </is>
      </c>
      <c r="J311" s="6" t="inlineStr">
        <is>
          <t>No - needs flutter test</t>
        </is>
      </c>
      <c r="K311" s="7" t="inlineStr"/>
    </row>
    <row r="312" ht="58" customHeight="1">
      <c r="A312" s="5" t="n">
        <v>311</v>
      </c>
      <c r="B312" s="5" t="n">
        <v>47</v>
      </c>
      <c r="C312" s="5" t="inlineStr">
        <is>
          <t>GEN-02720</t>
        </is>
      </c>
      <c r="D312" s="5" t="inlineStr">
        <is>
          <t>GEN-02720-A01</t>
        </is>
      </c>
      <c r="E312" s="5" t="inlineStr">
        <is>
          <t>GEN-02720-G5</t>
        </is>
      </c>
      <c r="F312" s="5" t="inlineStr">
        <is>
          <t>Setup Step (Action) -- "fails to receive a response" covers a refused connection as much as a silent one, and neither may take the app down.</t>
        </is>
      </c>
      <c r="G312" s="5" t="inlineStr">
        <is>
          <t>A polling function that throws is folded into the same failure count as a timeout, with no exception escaping the monitor</t>
        </is>
      </c>
      <c r="H312" s="5" t="inlineStr">
        <is>
          <t>Unit / logic</t>
        </is>
      </c>
      <c r="I312" s="5" t="inlineStr">
        <is>
          <t>Active</t>
        </is>
      </c>
      <c r="J312" s="5" t="inlineStr">
        <is>
          <t>No - needs flutter test</t>
        </is>
      </c>
      <c r="K312" s="7" t="inlineStr"/>
    </row>
    <row r="313" ht="58" customHeight="1">
      <c r="A313" s="6" t="n">
        <v>312</v>
      </c>
      <c r="B313" s="6" t="n">
        <v>47</v>
      </c>
      <c r="C313" s="6" t="inlineStr">
        <is>
          <t>GEN-02720</t>
        </is>
      </c>
      <c r="D313" s="6" t="inlineStr">
        <is>
          <t>GEN-02720-A01</t>
        </is>
      </c>
      <c r="E313" s="6" t="inlineStr">
        <is>
          <t>GEN-02720-G6</t>
        </is>
      </c>
      <c r="F313" s="6" t="inlineStr">
        <is>
          <t>Setup Step (Action): "offline UI STATE MANAGEMENT logic." The state a user cares about while offline is how much of their work is waiting.</t>
        </is>
      </c>
      <c r="G313" s="6" t="inlineStr">
        <is>
          <t>Items enqueued while offline are counted, notify listeners, and drain returns what was sent rather than silently emptying</t>
        </is>
      </c>
      <c r="H313" s="6" t="inlineStr">
        <is>
          <t>Unit / logic</t>
        </is>
      </c>
      <c r="I313" s="6" t="inlineStr">
        <is>
          <t>Active</t>
        </is>
      </c>
      <c r="J313" s="6" t="inlineStr">
        <is>
          <t>No - needs flutter test</t>
        </is>
      </c>
      <c r="K313" s="7" t="inlineStr"/>
    </row>
    <row r="314" ht="58" customHeight="1">
      <c r="A314" s="5" t="n">
        <v>313</v>
      </c>
      <c r="B314" s="5" t="n">
        <v>47</v>
      </c>
      <c r="C314" s="5" t="inlineStr">
        <is>
          <t>GEN-02720</t>
        </is>
      </c>
      <c r="D314" s="5" t="inlineStr">
        <is>
          <t>GEN-02720-A01</t>
        </is>
      </c>
      <c r="E314" s="5" t="inlineStr">
        <is>
          <t>GEN-02720-G7</t>
        </is>
      </c>
      <c r="F314" s="5" t="inlineStr">
        <is>
          <t>Mobile-First UX row: "Background polling refreshes data every 30 seconds." Something that runs forever must be quiet when nothing has changed.</t>
        </is>
      </c>
      <c r="G314" s="5" t="inlineStr">
        <is>
          <t>Successive polls with the same outcome raise no notification, so the offline UI rebuilds only when the state actually moves</t>
        </is>
      </c>
      <c r="H314" s="5" t="inlineStr">
        <is>
          <t>Unit / logic</t>
        </is>
      </c>
      <c r="I314" s="5" t="inlineStr">
        <is>
          <t>Active</t>
        </is>
      </c>
      <c r="J314" s="5" t="inlineStr">
        <is>
          <t>No - needs flutter test</t>
        </is>
      </c>
      <c r="K314" s="7" t="inlineStr"/>
    </row>
    <row r="315" ht="58" customHeight="1">
      <c r="A315" s="6" t="n">
        <v>314</v>
      </c>
      <c r="B315" s="6" t="n">
        <v>48</v>
      </c>
      <c r="C315" s="6" t="inlineStr">
        <is>
          <t>GEN-03437</t>
        </is>
      </c>
      <c r="D315" s="6" t="inlineStr">
        <is>
          <t>GEN-03437-A01</t>
        </is>
      </c>
      <c r="E315" s="6" t="inlineStr">
        <is>
          <t>GEN-03437-G1</t>
        </is>
      </c>
      <c r="F315" s="6" t="inlineStr">
        <is>
          <t>Metric: Banner Contrast Ratio -- Floor 4.5:1, Optimal 7:1, Ceiling 21:1.</t>
        </is>
      </c>
      <c r="G315" s="6" t="inlineStr">
        <is>
          <t>The banner text is measured against its own background in both schemes and both visible states, and every reading clears the 4.5:1 floor</t>
        </is>
      </c>
      <c r="H315" s="6" t="inlineStr">
        <is>
          <t>Unit / logic</t>
        </is>
      </c>
      <c r="I315" s="6" t="inlineStr">
        <is>
          <t>Active</t>
        </is>
      </c>
      <c r="J315" s="6" t="inlineStr">
        <is>
          <t>Yes - value computed</t>
        </is>
      </c>
      <c r="K315" s="7" t="inlineStr"/>
    </row>
    <row r="316" ht="58" customHeight="1">
      <c r="A316" s="5" t="n">
        <v>315</v>
      </c>
      <c r="B316" s="5" t="n">
        <v>48</v>
      </c>
      <c r="C316" s="5" t="inlineStr">
        <is>
          <t>GEN-03437</t>
        </is>
      </c>
      <c r="D316" s="5" t="inlineStr">
        <is>
          <t>GEN-03437-A01</t>
        </is>
      </c>
      <c r="E316" s="5" t="inlineStr">
        <is>
          <t>GEN-03437-G2</t>
        </is>
      </c>
      <c r="F316" s="5" t="inlineStr">
        <is>
          <t>Metric Optimal 7:1 -- AAA. A status banner is read once, quickly, often in bad light, which is the case the optimal column is for.</t>
        </is>
      </c>
      <c r="G316" s="5" t="inlineStr">
        <is>
          <t>Every measured reading also clears the 7:1 optimal, so the banner is reported at optimal rather than merely at floor</t>
        </is>
      </c>
      <c r="H316" s="5" t="inlineStr">
        <is>
          <t>Unit / logic</t>
        </is>
      </c>
      <c r="I316" s="5" t="inlineStr">
        <is>
          <t>Active</t>
        </is>
      </c>
      <c r="J316" s="5" t="inlineStr">
        <is>
          <t>Yes - value computed</t>
        </is>
      </c>
      <c r="K316" s="7" t="inlineStr"/>
    </row>
    <row r="317" ht="58" customHeight="1">
      <c r="A317" s="6" t="n">
        <v>316</v>
      </c>
      <c r="B317" s="6" t="n">
        <v>48</v>
      </c>
      <c r="C317" s="6" t="inlineStr">
        <is>
          <t>GEN-03437</t>
        </is>
      </c>
      <c r="D317" s="6" t="inlineStr">
        <is>
          <t>GEN-03437-A01</t>
        </is>
      </c>
      <c r="E317" s="6" t="inlineStr">
        <is>
          <t>GEN-03437-G3</t>
        </is>
      </c>
      <c r="F317" s="6" t="inlineStr">
        <is>
          <t>REF-197 (Step 26) plain-language rule, applied to the queue counter: "1 items waiting" is the kind of detail that makes an app feel unfinished.</t>
        </is>
      </c>
      <c r="G317" s="6" t="inlineStr">
        <is>
          <t>The pending counter has separate singular, plural and empty forms, and the empty form does not claim a count</t>
        </is>
      </c>
      <c r="H317" s="6" t="inlineStr">
        <is>
          <t>Unit / logic</t>
        </is>
      </c>
      <c r="I317" s="6" t="inlineStr">
        <is>
          <t>Active</t>
        </is>
      </c>
      <c r="J317" s="6" t="inlineStr">
        <is>
          <t>No - needs flutter test</t>
        </is>
      </c>
      <c r="K317" s="7" t="inlineStr"/>
    </row>
    <row r="318" ht="58" customHeight="1">
      <c r="A318" s="5" t="n">
        <v>317</v>
      </c>
      <c r="B318" s="5" t="n">
        <v>48</v>
      </c>
      <c r="C318" s="5" t="inlineStr">
        <is>
          <t>GEN-03437</t>
        </is>
      </c>
      <c r="D318" s="5" t="inlineStr">
        <is>
          <t>GEN-03437-A01</t>
        </is>
      </c>
      <c r="E318" s="5" t="inlineStr">
        <is>
          <t>GEN-03437-G4</t>
        </is>
      </c>
      <c r="F318" s="5" t="inlineStr">
        <is>
          <t>Setup Step (Action): "Display an 'Offline Mode' status banner AND PENDING QUEUE COUNTERS on UI screens."</t>
        </is>
      </c>
      <c r="G318" s="5" t="inlineStr">
        <is>
          <t>The banner occupies no space while online, and while offline it shows the Offline Mode title with the live queue depth</t>
        </is>
      </c>
      <c r="H318" s="5" t="inlineStr">
        <is>
          <t>Unit / logic</t>
        </is>
      </c>
      <c r="I318" s="5" t="inlineStr">
        <is>
          <t>Active</t>
        </is>
      </c>
      <c r="J318" s="5" t="inlineStr">
        <is>
          <t>No - needs flutter test</t>
        </is>
      </c>
      <c r="K318" s="7" t="inlineStr"/>
    </row>
    <row r="319" ht="58" customHeight="1">
      <c r="A319" s="6" t="n">
        <v>318</v>
      </c>
      <c r="B319" s="6" t="n">
        <v>48</v>
      </c>
      <c r="C319" s="6" t="inlineStr">
        <is>
          <t>GEN-03437</t>
        </is>
      </c>
      <c r="D319" s="6" t="inlineStr">
        <is>
          <t>GEN-03437-A01</t>
        </is>
      </c>
      <c r="E319" s="6" t="inlineStr">
        <is>
          <t>GEN-03437-G5</t>
        </is>
      </c>
      <c r="F319" s="6" t="inlineStr">
        <is>
          <t>Setup Step (Action) -- two sources of truth for "are we offline?" is how an app ends up showing a sync icon over a queue of forty unsent records.</t>
        </is>
      </c>
      <c r="G319" s="6" t="inlineStr">
        <is>
          <t>The counter follows the Step 47 monitor through enqueue and drain without the banner storing a count of its own</t>
        </is>
      </c>
      <c r="H319" s="6" t="inlineStr">
        <is>
          <t>Unit / logic</t>
        </is>
      </c>
      <c r="I319" s="6" t="inlineStr">
        <is>
          <t>Active</t>
        </is>
      </c>
      <c r="J319" s="6" t="inlineStr">
        <is>
          <t>No - needs flutter test</t>
        </is>
      </c>
      <c r="K319" s="7" t="inlineStr"/>
    </row>
    <row r="320" ht="58" customHeight="1">
      <c r="A320" s="5" t="n">
        <v>319</v>
      </c>
      <c r="B320" s="5" t="n">
        <v>48</v>
      </c>
      <c r="C320" s="5" t="inlineStr">
        <is>
          <t>GEN-03437</t>
        </is>
      </c>
      <c r="D320" s="5" t="inlineStr">
        <is>
          <t>GEN-03437-A01</t>
        </is>
      </c>
      <c r="E320" s="5" t="inlineStr">
        <is>
          <t>GEN-03437-G6</t>
        </is>
      </c>
      <c r="F320" s="5" t="inlineStr">
        <is>
          <t>TTMCS-005 (Step 4) accessibility floor applied to a status surface: a banner that appears without being announced is invisible to the user least able to notice a colour change.</t>
        </is>
      </c>
      <c r="G320" s="5" t="inlineStr">
        <is>
          <t>The banner exposes one live-region node carrying both the state and the queue depth in a single announcement</t>
        </is>
      </c>
      <c r="H320" s="5" t="inlineStr">
        <is>
          <t>Unit / logic</t>
        </is>
      </c>
      <c r="I320" s="5" t="inlineStr">
        <is>
          <t>Active</t>
        </is>
      </c>
      <c r="J320" s="5" t="inlineStr">
        <is>
          <t>No - needs flutter test</t>
        </is>
      </c>
      <c r="K320" s="7" t="inlineStr"/>
    </row>
    <row r="321" ht="58" customHeight="1">
      <c r="A321" s="6" t="n">
        <v>320</v>
      </c>
      <c r="B321" s="6" t="n">
        <v>48</v>
      </c>
      <c r="C321" s="6" t="inlineStr">
        <is>
          <t>GEN-03437</t>
        </is>
      </c>
      <c r="D321" s="6" t="inlineStr">
        <is>
          <t>GEN-03437-A01</t>
        </is>
      </c>
      <c r="E321" s="6" t="inlineStr">
        <is>
          <t>GEN-03437-G7</t>
        </is>
      </c>
      <c r="F321" s="6" t="inlineStr">
        <is>
          <t>Setup Step (Action) read with Step 47: one missed poll is not an outage, and telling the user it is teaches them to ignore the banner.</t>
        </is>
      </c>
      <c r="G321" s="6" t="inlineStr">
        <is>
          <t>A degraded connection renders its own wording in a quieter status role than offline, while still clearing the contrast floor</t>
        </is>
      </c>
      <c r="H321" s="6" t="inlineStr">
        <is>
          <t>WCAG contrast</t>
        </is>
      </c>
      <c r="I321" s="6" t="inlineStr">
        <is>
          <t>Active</t>
        </is>
      </c>
      <c r="J321" s="6" t="inlineStr">
        <is>
          <t>No - needs flutter test</t>
        </is>
      </c>
      <c r="K321" s="7" t="inlineStr"/>
    </row>
    <row r="322" ht="58" customHeight="1">
      <c r="A322" s="5" t="n">
        <v>321</v>
      </c>
      <c r="B322" s="5" t="n">
        <v>49</v>
      </c>
      <c r="C322" s="5" t="inlineStr">
        <is>
          <t>IS22-RCGLA-022-AS01</t>
        </is>
      </c>
      <c r="D322" s="5" t="inlineStr">
        <is>
          <t>IS22-RCGLA-022-AS01-A01</t>
        </is>
      </c>
      <c r="E322" s="5" t="inlineStr">
        <is>
          <t>IS22-RCGLA-022-G1</t>
        </is>
      </c>
      <c r="F322" s="5" t="inlineStr">
        <is>
          <t>Substep 1: "Map explicit preference columns (ALLOW_PROMO, ALLOW_TRANSACTION) inside user state tables."</t>
        </is>
      </c>
      <c r="G322" s="5" t="inlineStr">
        <is>
          <t>Both named columns exist, spelled exactly as the sheet spells them, and the set is closed -- a third column cannot be introduced by passing a string</t>
        </is>
      </c>
      <c r="H322" s="5" t="inlineStr">
        <is>
          <t>Unit / logic</t>
        </is>
      </c>
      <c r="I322" s="5" t="inlineStr">
        <is>
          <t>Active</t>
        </is>
      </c>
      <c r="J322" s="5" t="inlineStr">
        <is>
          <t>No - needs flutter test</t>
        </is>
      </c>
      <c r="K322" s="7" t="inlineStr"/>
    </row>
    <row r="323" ht="58" customHeight="1">
      <c r="A323" s="6" t="n">
        <v>322</v>
      </c>
      <c r="B323" s="6" t="n">
        <v>49</v>
      </c>
      <c r="C323" s="6" t="inlineStr">
        <is>
          <t>IS22-RCGLA-022-AS01</t>
        </is>
      </c>
      <c r="D323" s="6" t="inlineStr">
        <is>
          <t>IS22-RCGLA-022-AS01-A01</t>
        </is>
      </c>
      <c r="E323" s="6" t="inlineStr">
        <is>
          <t>IS22-RCGLA-022-G2</t>
        </is>
      </c>
      <c r="F323" s="6" t="inlineStr">
        <is>
          <t>Substep 4: "Connect configuration choices directly to NOTIFICATION DISPATCH SERVICES." A dispatcher reads a record, not a widget.</t>
        </is>
      </c>
      <c r="G323" s="6" t="inlineStr">
        <is>
          <t>The store serialises to exactly the two database columns with boolean values, and transactional messages default on while promotional ones default off -- a user who has never been asked has not opted in to marketing, and has not opted out of receipts</t>
        </is>
      </c>
      <c r="H323" s="6" t="inlineStr">
        <is>
          <t>Unit / logic</t>
        </is>
      </c>
      <c r="I323" s="6" t="inlineStr">
        <is>
          <t>Active</t>
        </is>
      </c>
      <c r="J323" s="6" t="inlineStr">
        <is>
          <t>No - needs flutter test</t>
        </is>
      </c>
      <c r="K323" s="7" t="inlineStr"/>
    </row>
    <row r="324" ht="58" customHeight="1">
      <c r="A324" s="5" t="n">
        <v>323</v>
      </c>
      <c r="B324" s="5" t="n">
        <v>49</v>
      </c>
      <c r="C324" s="5" t="inlineStr">
        <is>
          <t>IS22-RCGLA-022-AS01</t>
        </is>
      </c>
      <c r="D324" s="5" t="inlineStr">
        <is>
          <t>IS22-RCGLA-022-AS01-A01</t>
        </is>
      </c>
      <c r="E324" s="5" t="inlineStr">
        <is>
          <t>IS22-RCGLA-022-G3</t>
        </is>
      </c>
      <c r="F324" s="5" t="inlineStr">
        <is>
          <t>Substep 3: "Update user database preferences INSTANTLY when sliders change on screen."</t>
        </is>
      </c>
      <c r="G324" s="5" t="inlineStr">
        <is>
          <t>The value flips before the writer is awaited, the column is reported in flight while it is outstanding, and the record reflects the new value once it lands</t>
        </is>
      </c>
      <c r="H324" s="5" t="inlineStr">
        <is>
          <t>Unit / logic</t>
        </is>
      </c>
      <c r="I324" s="5" t="inlineStr">
        <is>
          <t>Active</t>
        </is>
      </c>
      <c r="J324" s="5" t="inlineStr">
        <is>
          <t>No - needs flutter test</t>
        </is>
      </c>
      <c r="K324" s="7" t="inlineStr"/>
    </row>
    <row r="325" ht="58" customHeight="1">
      <c r="A325" s="6" t="n">
        <v>324</v>
      </c>
      <c r="B325" s="6" t="n">
        <v>49</v>
      </c>
      <c r="C325" s="6" t="inlineStr">
        <is>
          <t>IS22-RCGLA-022-AS01</t>
        </is>
      </c>
      <c r="D325" s="6" t="inlineStr">
        <is>
          <t>IS22-RCGLA-022-AS01-A01</t>
        </is>
      </c>
      <c r="E325" s="6" t="inlineStr">
        <is>
          <t>IS22-RCGLA-022-G4</t>
        </is>
      </c>
      <c r="F325" s="6" t="inlineStr">
        <is>
          <t>Completion Measure: "Preference changes write to the database ACCURATELY during interface evaluation loops."</t>
        </is>
      </c>
      <c r="G325" s="6" t="inlineStr">
        <is>
          <t>A rejected write restores the previous value and records the column in the failed list rather than leaving the UI ahead of the database</t>
        </is>
      </c>
      <c r="H325" s="6" t="inlineStr">
        <is>
          <t>Unit / logic</t>
        </is>
      </c>
      <c r="I325" s="6" t="inlineStr">
        <is>
          <t>Active</t>
        </is>
      </c>
      <c r="J325" s="6" t="inlineStr">
        <is>
          <t>No - needs flutter test</t>
        </is>
      </c>
      <c r="K325" s="7" t="inlineStr"/>
    </row>
    <row r="326" ht="58" customHeight="1">
      <c r="A326" s="5" t="n">
        <v>325</v>
      </c>
      <c r="B326" s="5" t="n">
        <v>49</v>
      </c>
      <c r="C326" s="5" t="inlineStr">
        <is>
          <t>IS22-RCGLA-022-AS01</t>
        </is>
      </c>
      <c r="D326" s="5" t="inlineStr">
        <is>
          <t>IS22-RCGLA-022-AS01-A01</t>
        </is>
      </c>
      <c r="E326" s="5" t="inlineStr">
        <is>
          <t>IS22-RCGLA-022-G5</t>
        </is>
      </c>
      <c r="F326" s="5" t="inlineStr">
        <is>
          <t>Completion Measure -- a settings screen that crashes on a dropped connection has not written accurately either.</t>
        </is>
      </c>
      <c r="G326" s="5" t="inlineStr">
        <is>
          <t>A writer that throws is folded into the same rollback path as a rejected write, with no exception escaping the store</t>
        </is>
      </c>
      <c r="H326" s="5" t="inlineStr">
        <is>
          <t>Unit / logic</t>
        </is>
      </c>
      <c r="I326" s="5" t="inlineStr">
        <is>
          <t>Active</t>
        </is>
      </c>
      <c r="J326" s="5" t="inlineStr">
        <is>
          <t>No - needs flutter test</t>
        </is>
      </c>
      <c r="K326" s="7" t="inlineStr"/>
    </row>
    <row r="327" ht="58" customHeight="1">
      <c r="A327" s="6" t="n">
        <v>326</v>
      </c>
      <c r="B327" s="6" t="n">
        <v>49</v>
      </c>
      <c r="C327" s="6" t="inlineStr">
        <is>
          <t>IS22-RCGLA-022-AS01</t>
        </is>
      </c>
      <c r="D327" s="6" t="inlineStr">
        <is>
          <t>IS22-RCGLA-022-AS01-A01</t>
        </is>
      </c>
      <c r="E327" s="6" t="inlineStr">
        <is>
          <t>IS22-RCGLA-022-G6</t>
        </is>
      </c>
      <c r="F327" s="6" t="inlineStr">
        <is>
          <t>Poka-Yoke: "Selection inputs freeze screen transitions until changes write to database rows."</t>
        </is>
      </c>
      <c r="G327" s="6" t="inlineStr">
        <is>
          <t>The guard refuses to leave while a write is in flight, resumes once it lands, and reports success so a failed write can keep the user on the screen</t>
        </is>
      </c>
      <c r="H327" s="6" t="inlineStr">
        <is>
          <t>Unit / logic</t>
        </is>
      </c>
      <c r="I327" s="6" t="inlineStr">
        <is>
          <t>Active</t>
        </is>
      </c>
      <c r="J327" s="6" t="inlineStr">
        <is>
          <t>No - needs flutter test</t>
        </is>
      </c>
      <c r="K327" s="7" t="inlineStr"/>
    </row>
    <row r="328" ht="58" customHeight="1">
      <c r="A328" s="5" t="n">
        <v>327</v>
      </c>
      <c r="B328" s="5" t="n">
        <v>49</v>
      </c>
      <c r="C328" s="5" t="inlineStr">
        <is>
          <t>IS22-RCGLA-022-AS01</t>
        </is>
      </c>
      <c r="D328" s="5" t="inlineStr">
        <is>
          <t>IS22-RCGLA-022-AS01-A01</t>
        </is>
      </c>
      <c r="E328" s="5" t="inlineStr">
        <is>
          <t>IS22-RCGLA-022-G7</t>
        </is>
      </c>
      <c r="F328" s="5" t="inlineStr">
        <is>
          <t>Substep 2: "Render RESPONSIVE configuration controls LINKED DIRECTLY to these column models." + TTMAC-011 touch target floor.</t>
        </is>
      </c>
      <c r="G328" s="5" t="inlineStr">
        <is>
          <t>The panel renders exactly one M3 switch per declared column, each row at or above the 48dp touch target</t>
        </is>
      </c>
      <c r="H328" s="5" t="inlineStr">
        <is>
          <t>Widget / measured</t>
        </is>
      </c>
      <c r="I328" s="5" t="inlineStr">
        <is>
          <t>Active</t>
        </is>
      </c>
      <c r="J328" s="5" t="inlineStr">
        <is>
          <t>No - needs flutter test</t>
        </is>
      </c>
      <c r="K328" s="7" t="inlineStr"/>
    </row>
    <row r="329" ht="58" customHeight="1">
      <c r="A329" s="6" t="n">
        <v>328</v>
      </c>
      <c r="B329" s="6" t="n">
        <v>49</v>
      </c>
      <c r="C329" s="6" t="inlineStr">
        <is>
          <t>IS22-RCGLA-022-AS01</t>
        </is>
      </c>
      <c r="D329" s="6" t="inlineStr">
        <is>
          <t>IS22-RCGLA-022-AS01-A01</t>
        </is>
      </c>
      <c r="E329" s="6" t="inlineStr">
        <is>
          <t>IS22-RCGLA-022-G8</t>
        </is>
      </c>
      <c r="F329" s="6" t="inlineStr">
        <is>
          <t>Substeps 2 and 3 together, and the Poka-Yoke, measured on the rendered control rather than on the store alone.</t>
        </is>
      </c>
      <c r="G329" s="6" t="inlineStr">
        <is>
          <t>A tap on the rendered switch writes allow_promo=true, disables the control until the write lands, and re-enables it afterwards</t>
        </is>
      </c>
      <c r="H329" s="6" t="inlineStr">
        <is>
          <t>Widget / measured</t>
        </is>
      </c>
      <c r="I329" s="6" t="inlineStr">
        <is>
          <t>Active</t>
        </is>
      </c>
      <c r="J329" s="6" t="inlineStr">
        <is>
          <t>No - needs flutter test</t>
        </is>
      </c>
      <c r="K329" s="7" t="inlineStr"/>
    </row>
    <row r="330" ht="58" customHeight="1">
      <c r="A330" s="5" t="n">
        <v>329</v>
      </c>
      <c r="B330" s="5" t="n">
        <v>50</v>
      </c>
      <c r="C330" s="5" t="inlineStr">
        <is>
          <t>GEN-03404</t>
        </is>
      </c>
      <c r="D330" s="5" t="inlineStr">
        <is>
          <t>GEN-03404-A01</t>
        </is>
      </c>
      <c r="E330" s="5" t="inlineStr">
        <is>
          <t>GEN-03404-G1</t>
        </is>
      </c>
      <c r="F330" s="5" t="inlineStr">
        <is>
          <t>Metric: Preference Screen Render Time -- Floor &lt;100ms, Optimal &lt;30ms, Ceiling 200ms.</t>
        </is>
      </c>
      <c r="G330" s="5" t="inlineStr">
        <is>
          <t>All three thresholds are the sheet's own numbers, held in the motion tokens, and the ceiling is the same interactive ceiling every other user-visible wait in this design system is held to</t>
        </is>
      </c>
      <c r="H330" s="5" t="inlineStr">
        <is>
          <t>Unit / logic</t>
        </is>
      </c>
      <c r="I330" s="5" t="inlineStr">
        <is>
          <t>Active</t>
        </is>
      </c>
      <c r="J330" s="5" t="inlineStr">
        <is>
          <t>Yes - value computed</t>
        </is>
      </c>
      <c r="K330" s="7" t="inlineStr"/>
    </row>
    <row r="331" ht="58" customHeight="1">
      <c r="A331" s="6" t="n">
        <v>330</v>
      </c>
      <c r="B331" s="6" t="n">
        <v>50</v>
      </c>
      <c r="C331" s="6" t="inlineStr">
        <is>
          <t>GEN-03404</t>
        </is>
      </c>
      <c r="D331" s="6" t="inlineStr">
        <is>
          <t>GEN-03404-A01</t>
        </is>
      </c>
      <c r="E331" s="6" t="inlineStr">
        <is>
          <t>GEN-03404-G2</t>
        </is>
      </c>
      <c r="F331" s="6" t="inlineStr">
        <is>
          <t>Metric -- a budget that cannot report a miss is decoration.</t>
        </is>
      </c>
      <c r="G331" s="6" t="inlineStr">
        <is>
          <t>The budget classifies a measurement below optimal, one between optimal and floor, and one past the floor differently</t>
        </is>
      </c>
      <c r="H331" s="6" t="inlineStr">
        <is>
          <t>Unit / logic</t>
        </is>
      </c>
      <c r="I331" s="6" t="inlineStr">
        <is>
          <t>Active</t>
        </is>
      </c>
      <c r="J331" s="6" t="inlineStr">
        <is>
          <t>Yes - value computed</t>
        </is>
      </c>
      <c r="K331" s="7" t="inlineStr"/>
    </row>
    <row r="332" ht="58" customHeight="1">
      <c r="A332" s="5" t="n">
        <v>331</v>
      </c>
      <c r="B332" s="5" t="n">
        <v>50</v>
      </c>
      <c r="C332" s="5" t="inlineStr">
        <is>
          <t>GEN-03404</t>
        </is>
      </c>
      <c r="D332" s="5" t="inlineStr">
        <is>
          <t>GEN-03404-A01</t>
        </is>
      </c>
      <c r="E332" s="5" t="inlineStr">
        <is>
          <t>GEN-03404-G3</t>
        </is>
      </c>
      <c r="F332" s="5" t="inlineStr">
        <is>
          <t>Setup Step (Action): "Build the mobile notification preference screen using M3 SWITCH COMPONENTS." + Metric: Preference Screen Render Time.</t>
        </is>
      </c>
      <c r="G332" s="5" t="inlineStr">
        <is>
          <t>The screen builds with one M3 Switch per declared column and a measured build-to-first-frame time inside the floor</t>
        </is>
      </c>
      <c r="H332" s="5" t="inlineStr">
        <is>
          <t>Widget / measured</t>
        </is>
      </c>
      <c r="I332" s="5" t="inlineStr">
        <is>
          <t>Active</t>
        </is>
      </c>
      <c r="J332" s="5" t="inlineStr">
        <is>
          <t>No - needs flutter test</t>
        </is>
      </c>
      <c r="K332" s="7" t="inlineStr"/>
    </row>
    <row r="333" ht="58" customHeight="1">
      <c r="A333" s="6" t="n">
        <v>332</v>
      </c>
      <c r="B333" s="6" t="n">
        <v>50</v>
      </c>
      <c r="C333" s="6" t="inlineStr">
        <is>
          <t>GEN-03404</t>
        </is>
      </c>
      <c r="D333" s="6" t="inlineStr">
        <is>
          <t>GEN-03404-A01</t>
        </is>
      </c>
      <c r="E333" s="6" t="inlineStr">
        <is>
          <t>GEN-03404-G4</t>
        </is>
      </c>
      <c r="F333" s="6" t="inlineStr">
        <is>
          <t>IS22-RCGLA-022 Completion Measure: "Preference changes write to the database accurately." A screen that saves silently is indistinguishable from one that does not save at all.</t>
        </is>
      </c>
      <c r="G333" s="6" t="inlineStr">
        <is>
          <t>The screen reports saved after an accepted write and reports the failure after a rejected one, with the control rolled back</t>
        </is>
      </c>
      <c r="H333" s="6" t="inlineStr">
        <is>
          <t>Unit / logic</t>
        </is>
      </c>
      <c r="I333" s="6" t="inlineStr">
        <is>
          <t>Active</t>
        </is>
      </c>
      <c r="J333" s="6" t="inlineStr">
        <is>
          <t>No - needs flutter test</t>
        </is>
      </c>
      <c r="K333" s="7" t="inlineStr"/>
    </row>
    <row r="334" ht="58" customHeight="1">
      <c r="A334" s="5" t="n">
        <v>333</v>
      </c>
      <c r="B334" s="5" t="n">
        <v>50</v>
      </c>
      <c r="C334" s="5" t="inlineStr">
        <is>
          <t>GEN-03404</t>
        </is>
      </c>
      <c r="D334" s="5" t="inlineStr">
        <is>
          <t>GEN-03404-A01</t>
        </is>
      </c>
      <c r="E334" s="5" t="inlineStr">
        <is>
          <t>GEN-03404-G5</t>
        </is>
      </c>
      <c r="F334" s="5" t="inlineStr">
        <is>
          <t>IS22-RCGLA-022 Atomic Reusability: "NotificationPreferenceSheet UI wrapper block." The name is the sheet's, not this implementation's.</t>
        </is>
      </c>
      <c r="G334" s="5" t="inlineStr">
        <is>
          <t>NotificationPreferenceSheet.show presents the identical view inside the Step 21 bottom sheet, reachable from anywhere in the app without a route</t>
        </is>
      </c>
      <c r="H334" s="5" t="inlineStr">
        <is>
          <t>Unit / logic</t>
        </is>
      </c>
      <c r="I334" s="5" t="inlineStr">
        <is>
          <t>Active</t>
        </is>
      </c>
      <c r="J334" s="5" t="inlineStr">
        <is>
          <t>No - needs flutter test</t>
        </is>
      </c>
      <c r="K334" s="7" t="inlineStr"/>
    </row>
  </sheetData>
  <autoFilter ref="A1:K334"/>
  <dataValidations count="1">
    <dataValidation sqref="K2:K334" showDropDown="0" showInputMessage="0" showErrorMessage="0" allowBlank="1" type="list">
      <formula1>"Pass,Fail,Not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6" customWidth="1" min="3" max="3"/>
    <col width="26" customWidth="1" min="4" max="4"/>
    <col width="16" customWidth="1" min="5" max="5"/>
    <col width="2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 ht="42" customHeight="1">
      <c r="A1" s="4" t="inlineStr">
        <is>
          <t>Scheme</t>
        </is>
      </c>
      <c r="B1" s="4" t="inlineStr">
        <is>
          <t>Foreground Role</t>
        </is>
      </c>
      <c r="C1" s="4" t="inlineStr">
        <is>
          <t>Foreground Hex</t>
        </is>
      </c>
      <c r="D1" s="4" t="inlineStr">
        <is>
          <t>Background Role</t>
        </is>
      </c>
      <c r="E1" s="4" t="inlineStr">
        <is>
          <t>Background Hex</t>
        </is>
      </c>
      <c r="F1" s="4" t="inlineStr">
        <is>
          <t>Category</t>
        </is>
      </c>
      <c r="G1" s="4" t="inlineStr">
        <is>
          <t>Measured Ratio</t>
        </is>
      </c>
      <c r="H1" s="4" t="inlineStr">
        <is>
          <t>Floor Required</t>
        </is>
      </c>
      <c r="I1" s="4" t="inlineStr">
        <is>
          <t>WCAG Grade</t>
        </is>
      </c>
      <c r="J1" s="4" t="inlineStr">
        <is>
          <t>Result</t>
        </is>
      </c>
    </row>
    <row r="2">
      <c r="A2" s="5" t="inlineStr">
        <is>
          <t>light</t>
        </is>
      </c>
      <c r="B2" s="5" t="inlineStr">
        <is>
          <t>onPrimary</t>
        </is>
      </c>
      <c r="C2" s="5" t="inlineStr">
        <is>
          <t>#FFFFFF</t>
        </is>
      </c>
      <c r="D2" s="5" t="inlineStr">
        <is>
          <t>primary</t>
        </is>
      </c>
      <c r="E2" s="5" t="inlineStr">
        <is>
          <t>#00538A</t>
        </is>
      </c>
      <c r="F2" s="5" t="inlineStr">
        <is>
          <t>Text</t>
        </is>
      </c>
      <c r="G2" s="9" t="n">
        <v>8.06</v>
      </c>
      <c r="H2" s="5" t="n">
        <v>4.5</v>
      </c>
      <c r="I2" s="5" t="inlineStr">
        <is>
          <t>AAA</t>
        </is>
      </c>
      <c r="J2" s="5">
        <f>IF(G2&gt;=H2,"PASS","FAIL")</f>
        <v/>
      </c>
    </row>
    <row r="3">
      <c r="A3" s="6" t="inlineStr">
        <is>
          <t>light</t>
        </is>
      </c>
      <c r="B3" s="6" t="inlineStr">
        <is>
          <t>onPrimaryContainer</t>
        </is>
      </c>
      <c r="C3" s="6" t="inlineStr">
        <is>
          <t>#001D33</t>
        </is>
      </c>
      <c r="D3" s="6" t="inlineStr">
        <is>
          <t>primaryContainer</t>
        </is>
      </c>
      <c r="E3" s="6" t="inlineStr">
        <is>
          <t>#CDE5FF</t>
        </is>
      </c>
      <c r="F3" s="6" t="inlineStr">
        <is>
          <t>Text</t>
        </is>
      </c>
      <c r="G3" s="10" t="n">
        <v>13.28</v>
      </c>
      <c r="H3" s="6" t="n">
        <v>4.5</v>
      </c>
      <c r="I3" s="6" t="inlineStr">
        <is>
          <t>AAA</t>
        </is>
      </c>
      <c r="J3" s="6">
        <f>IF(G3&gt;=H3,"PASS","FAIL")</f>
        <v/>
      </c>
    </row>
    <row r="4">
      <c r="A4" s="5" t="inlineStr">
        <is>
          <t>light</t>
        </is>
      </c>
      <c r="B4" s="5" t="inlineStr">
        <is>
          <t>onSecondary</t>
        </is>
      </c>
      <c r="C4" s="5" t="inlineStr">
        <is>
          <t>#FFFFFF</t>
        </is>
      </c>
      <c r="D4" s="5" t="inlineStr">
        <is>
          <t>secondary</t>
        </is>
      </c>
      <c r="E4" s="5" t="inlineStr">
        <is>
          <t>#00565B</t>
        </is>
      </c>
      <c r="F4" s="5" t="inlineStr">
        <is>
          <t>Text</t>
        </is>
      </c>
      <c r="G4" s="9" t="n">
        <v>8.460000000000001</v>
      </c>
      <c r="H4" s="5" t="n">
        <v>4.5</v>
      </c>
      <c r="I4" s="5" t="inlineStr">
        <is>
          <t>AAA</t>
        </is>
      </c>
      <c r="J4" s="5">
        <f>IF(G4&gt;=H4,"PASS","FAIL")</f>
        <v/>
      </c>
    </row>
    <row r="5">
      <c r="A5" s="6" t="inlineStr">
        <is>
          <t>light</t>
        </is>
      </c>
      <c r="B5" s="6" t="inlineStr">
        <is>
          <t>onSecondaryContainer</t>
        </is>
      </c>
      <c r="C5" s="6" t="inlineStr">
        <is>
          <t>#00201F</t>
        </is>
      </c>
      <c r="D5" s="6" t="inlineStr">
        <is>
          <t>secondaryContainer</t>
        </is>
      </c>
      <c r="E5" s="6" t="inlineStr">
        <is>
          <t>#B0ECF1</t>
        </is>
      </c>
      <c r="F5" s="6" t="inlineStr">
        <is>
          <t>Text</t>
        </is>
      </c>
      <c r="G5" s="10" t="n">
        <v>13.14</v>
      </c>
      <c r="H5" s="6" t="n">
        <v>4.5</v>
      </c>
      <c r="I5" s="6" t="inlineStr">
        <is>
          <t>AAA</t>
        </is>
      </c>
      <c r="J5" s="6">
        <f>IF(G5&gt;=H5,"PASS","FAIL")</f>
        <v/>
      </c>
    </row>
    <row r="6">
      <c r="A6" s="5" t="inlineStr">
        <is>
          <t>light</t>
        </is>
      </c>
      <c r="B6" s="5" t="inlineStr">
        <is>
          <t>onTertiary</t>
        </is>
      </c>
      <c r="C6" s="5" t="inlineStr">
        <is>
          <t>#FFFFFF</t>
        </is>
      </c>
      <c r="D6" s="5" t="inlineStr">
        <is>
          <t>tertiary</t>
        </is>
      </c>
      <c r="E6" s="5" t="inlineStr">
        <is>
          <t>#5A4666</t>
        </is>
      </c>
      <c r="F6" s="5" t="inlineStr">
        <is>
          <t>Text</t>
        </is>
      </c>
      <c r="G6" s="9" t="n">
        <v>8.390000000000001</v>
      </c>
      <c r="H6" s="5" t="n">
        <v>4.5</v>
      </c>
      <c r="I6" s="5" t="inlineStr">
        <is>
          <t>AAA</t>
        </is>
      </c>
      <c r="J6" s="5">
        <f>IF(G6&gt;=H6,"PASS","FAIL")</f>
        <v/>
      </c>
    </row>
    <row r="7">
      <c r="A7" s="6" t="inlineStr">
        <is>
          <t>light</t>
        </is>
      </c>
      <c r="B7" s="6" t="inlineStr">
        <is>
          <t>onTertiaryContainer</t>
        </is>
      </c>
      <c r="C7" s="6" t="inlineStr">
        <is>
          <t>#231531</t>
        </is>
      </c>
      <c r="D7" s="6" t="inlineStr">
        <is>
          <t>tertiaryContainer</t>
        </is>
      </c>
      <c r="E7" s="6" t="inlineStr">
        <is>
          <t>#F0DBFF</t>
        </is>
      </c>
      <c r="F7" s="6" t="inlineStr">
        <is>
          <t>Text</t>
        </is>
      </c>
      <c r="G7" s="10" t="n">
        <v>13.31</v>
      </c>
      <c r="H7" s="6" t="n">
        <v>4.5</v>
      </c>
      <c r="I7" s="6" t="inlineStr">
        <is>
          <t>AAA</t>
        </is>
      </c>
      <c r="J7" s="6">
        <f>IF(G7&gt;=H7,"PASS","FAIL")</f>
        <v/>
      </c>
    </row>
    <row r="8">
      <c r="A8" s="5" t="inlineStr">
        <is>
          <t>light</t>
        </is>
      </c>
      <c r="B8" s="5" t="inlineStr">
        <is>
          <t>onError</t>
        </is>
      </c>
      <c r="C8" s="5" t="inlineStr">
        <is>
          <t>#FFFFFF</t>
        </is>
      </c>
      <c r="D8" s="5" t="inlineStr">
        <is>
          <t>error</t>
        </is>
      </c>
      <c r="E8" s="5" t="inlineStr">
        <is>
          <t>#B3261E</t>
        </is>
      </c>
      <c r="F8" s="5" t="inlineStr">
        <is>
          <t>Text</t>
        </is>
      </c>
      <c r="G8" s="9" t="n">
        <v>6.54</v>
      </c>
      <c r="H8" s="5" t="n">
        <v>4.5</v>
      </c>
      <c r="I8" s="5" t="inlineStr">
        <is>
          <t>AA</t>
        </is>
      </c>
      <c r="J8" s="5">
        <f>IF(G8&gt;=H8,"PASS","FAIL")</f>
        <v/>
      </c>
    </row>
    <row r="9">
      <c r="A9" s="6" t="inlineStr">
        <is>
          <t>light</t>
        </is>
      </c>
      <c r="B9" s="6" t="inlineStr">
        <is>
          <t>onErrorContainer</t>
        </is>
      </c>
      <c r="C9" s="6" t="inlineStr">
        <is>
          <t>#410E0B</t>
        </is>
      </c>
      <c r="D9" s="6" t="inlineStr">
        <is>
          <t>errorContainer</t>
        </is>
      </c>
      <c r="E9" s="6" t="inlineStr">
        <is>
          <t>#F9DEDC</t>
        </is>
      </c>
      <c r="F9" s="6" t="inlineStr">
        <is>
          <t>Text</t>
        </is>
      </c>
      <c r="G9" s="10" t="n">
        <v>12.77</v>
      </c>
      <c r="H9" s="6" t="n">
        <v>4.5</v>
      </c>
      <c r="I9" s="6" t="inlineStr">
        <is>
          <t>AAA</t>
        </is>
      </c>
      <c r="J9" s="6">
        <f>IF(G9&gt;=H9,"PASS","FAIL")</f>
        <v/>
      </c>
    </row>
    <row r="10">
      <c r="A10" s="5" t="inlineStr">
        <is>
          <t>light</t>
        </is>
      </c>
      <c r="B10" s="5" t="inlineStr">
        <is>
          <t>onSurface</t>
        </is>
      </c>
      <c r="C10" s="5" t="inlineStr">
        <is>
          <t>#1A1C1E</t>
        </is>
      </c>
      <c r="D10" s="5" t="inlineStr">
        <is>
          <t>surface</t>
        </is>
      </c>
      <c r="E10" s="5" t="inlineStr">
        <is>
          <t>#FAFCFF</t>
        </is>
      </c>
      <c r="F10" s="5" t="inlineStr">
        <is>
          <t>Text</t>
        </is>
      </c>
      <c r="G10" s="9" t="n">
        <v>16.63</v>
      </c>
      <c r="H10" s="5" t="n">
        <v>4.5</v>
      </c>
      <c r="I10" s="5" t="inlineStr">
        <is>
          <t>AAA</t>
        </is>
      </c>
      <c r="J10" s="5">
        <f>IF(G10&gt;=H10,"PASS","FAIL")</f>
        <v/>
      </c>
    </row>
    <row r="11">
      <c r="A11" s="6" t="inlineStr">
        <is>
          <t>light</t>
        </is>
      </c>
      <c r="B11" s="6" t="inlineStr">
        <is>
          <t>onSurfaceVariant</t>
        </is>
      </c>
      <c r="C11" s="6" t="inlineStr">
        <is>
          <t>#41474D</t>
        </is>
      </c>
      <c r="D11" s="6" t="inlineStr">
        <is>
          <t>surface</t>
        </is>
      </c>
      <c r="E11" s="6" t="inlineStr">
        <is>
          <t>#FAFCFF</t>
        </is>
      </c>
      <c r="F11" s="6" t="inlineStr">
        <is>
          <t>Text</t>
        </is>
      </c>
      <c r="G11" s="10" t="n">
        <v>9.15</v>
      </c>
      <c r="H11" s="6" t="n">
        <v>4.5</v>
      </c>
      <c r="I11" s="6" t="inlineStr">
        <is>
          <t>AAA</t>
        </is>
      </c>
      <c r="J11" s="6">
        <f>IF(G11&gt;=H11,"PASS","FAIL")</f>
        <v/>
      </c>
    </row>
    <row r="12">
      <c r="A12" s="5" t="inlineStr">
        <is>
          <t>light</t>
        </is>
      </c>
      <c r="B12" s="5" t="inlineStr">
        <is>
          <t>onSurface</t>
        </is>
      </c>
      <c r="C12" s="5" t="inlineStr">
        <is>
          <t>#1A1C1E</t>
        </is>
      </c>
      <c r="D12" s="5" t="inlineStr">
        <is>
          <t>surfaceContainerLowest</t>
        </is>
      </c>
      <c r="E12" s="5" t="inlineStr">
        <is>
          <t>#FFFFFF</t>
        </is>
      </c>
      <c r="F12" s="5" t="inlineStr">
        <is>
          <t>Text</t>
        </is>
      </c>
      <c r="G12" s="9" t="n">
        <v>17.09</v>
      </c>
      <c r="H12" s="5" t="n">
        <v>4.5</v>
      </c>
      <c r="I12" s="5" t="inlineStr">
        <is>
          <t>AAA</t>
        </is>
      </c>
      <c r="J12" s="5">
        <f>IF(G12&gt;=H12,"PASS","FAIL")</f>
        <v/>
      </c>
    </row>
    <row r="13">
      <c r="A13" s="6" t="inlineStr">
        <is>
          <t>light</t>
        </is>
      </c>
      <c r="B13" s="6" t="inlineStr">
        <is>
          <t>onSurface</t>
        </is>
      </c>
      <c r="C13" s="6" t="inlineStr">
        <is>
          <t>#1A1C1E</t>
        </is>
      </c>
      <c r="D13" s="6" t="inlineStr">
        <is>
          <t>surfaceContainerLow</t>
        </is>
      </c>
      <c r="E13" s="6" t="inlineStr">
        <is>
          <t>#F2F6FA</t>
        </is>
      </c>
      <c r="F13" s="6" t="inlineStr">
        <is>
          <t>Text</t>
        </is>
      </c>
      <c r="G13" s="10" t="n">
        <v>15.74</v>
      </c>
      <c r="H13" s="6" t="n">
        <v>4.5</v>
      </c>
      <c r="I13" s="6" t="inlineStr">
        <is>
          <t>AAA</t>
        </is>
      </c>
      <c r="J13" s="6">
        <f>IF(G13&gt;=H13,"PASS","FAIL")</f>
        <v/>
      </c>
    </row>
    <row r="14">
      <c r="A14" s="5" t="inlineStr">
        <is>
          <t>light</t>
        </is>
      </c>
      <c r="B14" s="5" t="inlineStr">
        <is>
          <t>onSurface</t>
        </is>
      </c>
      <c r="C14" s="5" t="inlineStr">
        <is>
          <t>#1A1C1E</t>
        </is>
      </c>
      <c r="D14" s="5" t="inlineStr">
        <is>
          <t>surfaceContainer</t>
        </is>
      </c>
      <c r="E14" s="5" t="inlineStr">
        <is>
          <t>#ECF0F5</t>
        </is>
      </c>
      <c r="F14" s="5" t="inlineStr">
        <is>
          <t>Text</t>
        </is>
      </c>
      <c r="G14" s="9" t="n">
        <v>14.93</v>
      </c>
      <c r="H14" s="5" t="n">
        <v>4.5</v>
      </c>
      <c r="I14" s="5" t="inlineStr">
        <is>
          <t>AAA</t>
        </is>
      </c>
      <c r="J14" s="5">
        <f>IF(G14&gt;=H14,"PASS","FAIL")</f>
        <v/>
      </c>
    </row>
    <row r="15">
      <c r="A15" s="6" t="inlineStr">
        <is>
          <t>light</t>
        </is>
      </c>
      <c r="B15" s="6" t="inlineStr">
        <is>
          <t>onSurface</t>
        </is>
      </c>
      <c r="C15" s="6" t="inlineStr">
        <is>
          <t>#1A1C1E</t>
        </is>
      </c>
      <c r="D15" s="6" t="inlineStr">
        <is>
          <t>surfaceContainerHigh</t>
        </is>
      </c>
      <c r="E15" s="6" t="inlineStr">
        <is>
          <t>#E6EAEF</t>
        </is>
      </c>
      <c r="F15" s="6" t="inlineStr">
        <is>
          <t>Text</t>
        </is>
      </c>
      <c r="G15" s="10" t="n">
        <v>14.14</v>
      </c>
      <c r="H15" s="6" t="n">
        <v>4.5</v>
      </c>
      <c r="I15" s="6" t="inlineStr">
        <is>
          <t>AAA</t>
        </is>
      </c>
      <c r="J15" s="6">
        <f>IF(G15&gt;=H15,"PASS","FAIL")</f>
        <v/>
      </c>
    </row>
    <row r="16">
      <c r="A16" s="5" t="inlineStr">
        <is>
          <t>light</t>
        </is>
      </c>
      <c r="B16" s="5" t="inlineStr">
        <is>
          <t>onSurface</t>
        </is>
      </c>
      <c r="C16" s="5" t="inlineStr">
        <is>
          <t>#1A1C1E</t>
        </is>
      </c>
      <c r="D16" s="5" t="inlineStr">
        <is>
          <t>surfaceContainerHighest</t>
        </is>
      </c>
      <c r="E16" s="5" t="inlineStr">
        <is>
          <t>#E0E4EA</t>
        </is>
      </c>
      <c r="F16" s="5" t="inlineStr">
        <is>
          <t>Text</t>
        </is>
      </c>
      <c r="G16" s="9" t="n">
        <v>13.39</v>
      </c>
      <c r="H16" s="5" t="n">
        <v>4.5</v>
      </c>
      <c r="I16" s="5" t="inlineStr">
        <is>
          <t>AAA</t>
        </is>
      </c>
      <c r="J16" s="5">
        <f>IF(G16&gt;=H16,"PASS","FAIL")</f>
        <v/>
      </c>
    </row>
    <row r="17">
      <c r="A17" s="6" t="inlineStr">
        <is>
          <t>light</t>
        </is>
      </c>
      <c r="B17" s="6" t="inlineStr">
        <is>
          <t>onInverseSurface</t>
        </is>
      </c>
      <c r="C17" s="6" t="inlineStr">
        <is>
          <t>#F0F1F4</t>
        </is>
      </c>
      <c r="D17" s="6" t="inlineStr">
        <is>
          <t>inverseSurface</t>
        </is>
      </c>
      <c r="E17" s="6" t="inlineStr">
        <is>
          <t>#2E3133</t>
        </is>
      </c>
      <c r="F17" s="6" t="inlineStr">
        <is>
          <t>Text</t>
        </is>
      </c>
      <c r="G17" s="10" t="n">
        <v>11.6</v>
      </c>
      <c r="H17" s="6" t="n">
        <v>4.5</v>
      </c>
      <c r="I17" s="6" t="inlineStr">
        <is>
          <t>AAA</t>
        </is>
      </c>
      <c r="J17" s="6">
        <f>IF(G17&gt;=H17,"PASS","FAIL")</f>
        <v/>
      </c>
    </row>
    <row r="18">
      <c r="A18" s="5" t="inlineStr">
        <is>
          <t>light</t>
        </is>
      </c>
      <c r="B18" s="5" t="inlineStr">
        <is>
          <t>outline</t>
        </is>
      </c>
      <c r="C18" s="5" t="inlineStr">
        <is>
          <t>#71787E</t>
        </is>
      </c>
      <c r="D18" s="5" t="inlineStr">
        <is>
          <t>surface</t>
        </is>
      </c>
      <c r="E18" s="5" t="inlineStr">
        <is>
          <t>#FAFCFF</t>
        </is>
      </c>
      <c r="F18" s="5" t="inlineStr">
        <is>
          <t>Non-text (SC 1.4.11)</t>
        </is>
      </c>
      <c r="G18" s="9" t="n">
        <v>4.36</v>
      </c>
      <c r="H18" s="5" t="n">
        <v>3</v>
      </c>
      <c r="I18" s="5" t="inlineStr">
        <is>
          <t>AA</t>
        </is>
      </c>
      <c r="J18" s="5">
        <f>IF(G18&gt;=H18,"PASS","FAIL")</f>
        <v/>
      </c>
    </row>
    <row r="19">
      <c r="A19" s="6" t="inlineStr">
        <is>
          <t>light</t>
        </is>
      </c>
      <c r="B19" s="6" t="inlineStr">
        <is>
          <t>primary</t>
        </is>
      </c>
      <c r="C19" s="6" t="inlineStr">
        <is>
          <t>#00538A</t>
        </is>
      </c>
      <c r="D19" s="6" t="inlineStr">
        <is>
          <t>surface</t>
        </is>
      </c>
      <c r="E19" s="6" t="inlineStr">
        <is>
          <t>#FAFCFF</t>
        </is>
      </c>
      <c r="F19" s="6" t="inlineStr">
        <is>
          <t>Non-text (SC 1.4.11)</t>
        </is>
      </c>
      <c r="G19" s="10" t="n">
        <v>7.85</v>
      </c>
      <c r="H19" s="6" t="n">
        <v>3</v>
      </c>
      <c r="I19" s="6" t="inlineStr">
        <is>
          <t>AAA</t>
        </is>
      </c>
      <c r="J19" s="6">
        <f>IF(G19&gt;=H19,"PASS","FAIL")</f>
        <v/>
      </c>
    </row>
    <row r="20">
      <c r="A20" s="5" t="inlineStr">
        <is>
          <t>dark</t>
        </is>
      </c>
      <c r="B20" s="5" t="inlineStr">
        <is>
          <t>onPrimary</t>
        </is>
      </c>
      <c r="C20" s="5" t="inlineStr">
        <is>
          <t>#003353</t>
        </is>
      </c>
      <c r="D20" s="5" t="inlineStr">
        <is>
          <t>primary</t>
        </is>
      </c>
      <c r="E20" s="5" t="inlineStr">
        <is>
          <t>#9BCBFF</t>
        </is>
      </c>
      <c r="F20" s="5" t="inlineStr">
        <is>
          <t>Text</t>
        </is>
      </c>
      <c r="G20" s="9" t="n">
        <v>7.75</v>
      </c>
      <c r="H20" s="5" t="n">
        <v>4.5</v>
      </c>
      <c r="I20" s="5" t="inlineStr">
        <is>
          <t>AAA</t>
        </is>
      </c>
      <c r="J20" s="5">
        <f>IF(G20&gt;=H20,"PASS","FAIL")</f>
        <v/>
      </c>
    </row>
    <row r="21">
      <c r="A21" s="6" t="inlineStr">
        <is>
          <t>dark</t>
        </is>
      </c>
      <c r="B21" s="6" t="inlineStr">
        <is>
          <t>onPrimaryContainer</t>
        </is>
      </c>
      <c r="C21" s="6" t="inlineStr">
        <is>
          <t>#CDE5FF</t>
        </is>
      </c>
      <c r="D21" s="6" t="inlineStr">
        <is>
          <t>primaryContainer</t>
        </is>
      </c>
      <c r="E21" s="6" t="inlineStr">
        <is>
          <t>#004A76</t>
        </is>
      </c>
      <c r="F21" s="6" t="inlineStr">
        <is>
          <t>Text</t>
        </is>
      </c>
      <c r="G21" s="10" t="n">
        <v>7.25</v>
      </c>
      <c r="H21" s="6" t="n">
        <v>4.5</v>
      </c>
      <c r="I21" s="6" t="inlineStr">
        <is>
          <t>AAA</t>
        </is>
      </c>
      <c r="J21" s="6">
        <f>IF(G21&gt;=H21,"PASS","FAIL")</f>
        <v/>
      </c>
    </row>
    <row r="22">
      <c r="A22" s="5" t="inlineStr">
        <is>
          <t>dark</t>
        </is>
      </c>
      <c r="B22" s="5" t="inlineStr">
        <is>
          <t>onSecondary</t>
        </is>
      </c>
      <c r="C22" s="5" t="inlineStr">
        <is>
          <t>#00363A</t>
        </is>
      </c>
      <c r="D22" s="5" t="inlineStr">
        <is>
          <t>secondary</t>
        </is>
      </c>
      <c r="E22" s="5" t="inlineStr">
        <is>
          <t>#8ED0D5</t>
        </is>
      </c>
      <c r="F22" s="5" t="inlineStr">
        <is>
          <t>Text</t>
        </is>
      </c>
      <c r="G22" s="9" t="n">
        <v>7.64</v>
      </c>
      <c r="H22" s="5" t="n">
        <v>4.5</v>
      </c>
      <c r="I22" s="5" t="inlineStr">
        <is>
          <t>AAA</t>
        </is>
      </c>
      <c r="J22" s="5">
        <f>IF(G22&gt;=H22,"PASS","FAIL")</f>
        <v/>
      </c>
    </row>
    <row r="23">
      <c r="A23" s="6" t="inlineStr">
        <is>
          <t>dark</t>
        </is>
      </c>
      <c r="B23" s="6" t="inlineStr">
        <is>
          <t>onSecondaryContainer</t>
        </is>
      </c>
      <c r="C23" s="6" t="inlineStr">
        <is>
          <t>#B0ECF1</t>
        </is>
      </c>
      <c r="D23" s="6" t="inlineStr">
        <is>
          <t>secondaryContainer</t>
        </is>
      </c>
      <c r="E23" s="6" t="inlineStr">
        <is>
          <t>#004F53</t>
        </is>
      </c>
      <c r="F23" s="6" t="inlineStr">
        <is>
          <t>Text</t>
        </is>
      </c>
      <c r="G23" s="10" t="n">
        <v>7.18</v>
      </c>
      <c r="H23" s="6" t="n">
        <v>4.5</v>
      </c>
      <c r="I23" s="6" t="inlineStr">
        <is>
          <t>AAA</t>
        </is>
      </c>
      <c r="J23" s="6">
        <f>IF(G23&gt;=H23,"PASS","FAIL")</f>
        <v/>
      </c>
    </row>
    <row r="24">
      <c r="A24" s="5" t="inlineStr">
        <is>
          <t>dark</t>
        </is>
      </c>
      <c r="B24" s="5" t="inlineStr">
        <is>
          <t>onTertiary</t>
        </is>
      </c>
      <c r="C24" s="5" t="inlineStr">
        <is>
          <t>#3B2948</t>
        </is>
      </c>
      <c r="D24" s="5" t="inlineStr">
        <is>
          <t>tertiary</t>
        </is>
      </c>
      <c r="E24" s="5" t="inlineStr">
        <is>
          <t>#D6BEE4</t>
        </is>
      </c>
      <c r="F24" s="5" t="inlineStr">
        <is>
          <t>Text</t>
        </is>
      </c>
      <c r="G24" s="9" t="n">
        <v>7.73</v>
      </c>
      <c r="H24" s="5" t="n">
        <v>4.5</v>
      </c>
      <c r="I24" s="5" t="inlineStr">
        <is>
          <t>AAA</t>
        </is>
      </c>
      <c r="J24" s="5">
        <f>IF(G24&gt;=H24,"PASS","FAIL")</f>
        <v/>
      </c>
    </row>
    <row r="25">
      <c r="A25" s="6" t="inlineStr">
        <is>
          <t>dark</t>
        </is>
      </c>
      <c r="B25" s="6" t="inlineStr">
        <is>
          <t>onTertiaryContainer</t>
        </is>
      </c>
      <c r="C25" s="6" t="inlineStr">
        <is>
          <t>#F0DBFF</t>
        </is>
      </c>
      <c r="D25" s="6" t="inlineStr">
        <is>
          <t>tertiaryContainer</t>
        </is>
      </c>
      <c r="E25" s="6" t="inlineStr">
        <is>
          <t>#523F5F</t>
        </is>
      </c>
      <c r="F25" s="6" t="inlineStr">
        <is>
          <t>Text</t>
        </is>
      </c>
      <c r="G25" s="10" t="n">
        <v>7.28</v>
      </c>
      <c r="H25" s="6" t="n">
        <v>4.5</v>
      </c>
      <c r="I25" s="6" t="inlineStr">
        <is>
          <t>AAA</t>
        </is>
      </c>
      <c r="J25" s="6">
        <f>IF(G25&gt;=H25,"PASS","FAIL")</f>
        <v/>
      </c>
    </row>
    <row r="26">
      <c r="A26" s="5" t="inlineStr">
        <is>
          <t>dark</t>
        </is>
      </c>
      <c r="B26" s="5" t="inlineStr">
        <is>
          <t>onError</t>
        </is>
      </c>
      <c r="C26" s="5" t="inlineStr">
        <is>
          <t>#690005</t>
        </is>
      </c>
      <c r="D26" s="5" t="inlineStr">
        <is>
          <t>error</t>
        </is>
      </c>
      <c r="E26" s="5" t="inlineStr">
        <is>
          <t>#FFB4AB</t>
        </is>
      </c>
      <c r="F26" s="5" t="inlineStr">
        <is>
          <t>Text</t>
        </is>
      </c>
      <c r="G26" s="9" t="n">
        <v>7.72</v>
      </c>
      <c r="H26" s="5" t="n">
        <v>4.5</v>
      </c>
      <c r="I26" s="5" t="inlineStr">
        <is>
          <t>AAA</t>
        </is>
      </c>
      <c r="J26" s="5">
        <f>IF(G26&gt;=H26,"PASS","FAIL")</f>
        <v/>
      </c>
    </row>
    <row r="27">
      <c r="A27" s="6" t="inlineStr">
        <is>
          <t>dark</t>
        </is>
      </c>
      <c r="B27" s="6" t="inlineStr">
        <is>
          <t>onErrorContainer</t>
        </is>
      </c>
      <c r="C27" s="6" t="inlineStr">
        <is>
          <t>#FFDAD6</t>
        </is>
      </c>
      <c r="D27" s="6" t="inlineStr">
        <is>
          <t>errorContainer</t>
        </is>
      </c>
      <c r="E27" s="6" t="inlineStr">
        <is>
          <t>#93000A</t>
        </is>
      </c>
      <c r="F27" s="6" t="inlineStr">
        <is>
          <t>Text</t>
        </is>
      </c>
      <c r="G27" s="10" t="n">
        <v>7.24</v>
      </c>
      <c r="H27" s="6" t="n">
        <v>4.5</v>
      </c>
      <c r="I27" s="6" t="inlineStr">
        <is>
          <t>AAA</t>
        </is>
      </c>
      <c r="J27" s="6">
        <f>IF(G27&gt;=H27,"PASS","FAIL")</f>
        <v/>
      </c>
    </row>
    <row r="28">
      <c r="A28" s="5" t="inlineStr">
        <is>
          <t>dark</t>
        </is>
      </c>
      <c r="B28" s="5" t="inlineStr">
        <is>
          <t>onSurface</t>
        </is>
      </c>
      <c r="C28" s="5" t="inlineStr">
        <is>
          <t>#E2E2E6</t>
        </is>
      </c>
      <c r="D28" s="5" t="inlineStr">
        <is>
          <t>surface</t>
        </is>
      </c>
      <c r="E28" s="5" t="inlineStr">
        <is>
          <t>#101416</t>
        </is>
      </c>
      <c r="F28" s="5" t="inlineStr">
        <is>
          <t>Text</t>
        </is>
      </c>
      <c r="G28" s="9" t="n">
        <v>14.34</v>
      </c>
      <c r="H28" s="5" t="n">
        <v>4.5</v>
      </c>
      <c r="I28" s="5" t="inlineStr">
        <is>
          <t>AAA</t>
        </is>
      </c>
      <c r="J28" s="5">
        <f>IF(G28&gt;=H28,"PASS","FAIL")</f>
        <v/>
      </c>
    </row>
    <row r="29">
      <c r="A29" s="6" t="inlineStr">
        <is>
          <t>dark</t>
        </is>
      </c>
      <c r="B29" s="6" t="inlineStr">
        <is>
          <t>onSurfaceVariant</t>
        </is>
      </c>
      <c r="C29" s="6" t="inlineStr">
        <is>
          <t>#C1C7CE</t>
        </is>
      </c>
      <c r="D29" s="6" t="inlineStr">
        <is>
          <t>surface</t>
        </is>
      </c>
      <c r="E29" s="6" t="inlineStr">
        <is>
          <t>#101416</t>
        </is>
      </c>
      <c r="F29" s="6" t="inlineStr">
        <is>
          <t>Text</t>
        </is>
      </c>
      <c r="G29" s="10" t="n">
        <v>10.87</v>
      </c>
      <c r="H29" s="6" t="n">
        <v>4.5</v>
      </c>
      <c r="I29" s="6" t="inlineStr">
        <is>
          <t>AAA</t>
        </is>
      </c>
      <c r="J29" s="6">
        <f>IF(G29&gt;=H29,"PASS","FAIL")</f>
        <v/>
      </c>
    </row>
    <row r="30">
      <c r="A30" s="5" t="inlineStr">
        <is>
          <t>dark</t>
        </is>
      </c>
      <c r="B30" s="5" t="inlineStr">
        <is>
          <t>onSurface</t>
        </is>
      </c>
      <c r="C30" s="5" t="inlineStr">
        <is>
          <t>#E2E2E6</t>
        </is>
      </c>
      <c r="D30" s="5" t="inlineStr">
        <is>
          <t>surfaceContainerLowest</t>
        </is>
      </c>
      <c r="E30" s="5" t="inlineStr">
        <is>
          <t>#101416</t>
        </is>
      </c>
      <c r="F30" s="5" t="inlineStr">
        <is>
          <t>Text</t>
        </is>
      </c>
      <c r="G30" s="9" t="n">
        <v>14.34</v>
      </c>
      <c r="H30" s="5" t="n">
        <v>4.5</v>
      </c>
      <c r="I30" s="5" t="inlineStr">
        <is>
          <t>AAA</t>
        </is>
      </c>
      <c r="J30" s="5">
        <f>IF(G30&gt;=H30,"PASS","FAIL")</f>
        <v/>
      </c>
    </row>
    <row r="31">
      <c r="A31" s="6" t="inlineStr">
        <is>
          <t>dark</t>
        </is>
      </c>
      <c r="B31" s="6" t="inlineStr">
        <is>
          <t>onSurface</t>
        </is>
      </c>
      <c r="C31" s="6" t="inlineStr">
        <is>
          <t>#E2E2E6</t>
        </is>
      </c>
      <c r="D31" s="6" t="inlineStr">
        <is>
          <t>surfaceContainerLow</t>
        </is>
      </c>
      <c r="E31" s="6" t="inlineStr">
        <is>
          <t>#171D22</t>
        </is>
      </c>
      <c r="F31" s="6" t="inlineStr">
        <is>
          <t>Text</t>
        </is>
      </c>
      <c r="G31" s="10" t="n">
        <v>13.16</v>
      </c>
      <c r="H31" s="6" t="n">
        <v>4.5</v>
      </c>
      <c r="I31" s="6" t="inlineStr">
        <is>
          <t>AAA</t>
        </is>
      </c>
      <c r="J31" s="6">
        <f>IF(G31&gt;=H31,"PASS","FAIL")</f>
        <v/>
      </c>
    </row>
    <row r="32">
      <c r="A32" s="5" t="inlineStr">
        <is>
          <t>dark</t>
        </is>
      </c>
      <c r="B32" s="5" t="inlineStr">
        <is>
          <t>onSurface</t>
        </is>
      </c>
      <c r="C32" s="5" t="inlineStr">
        <is>
          <t>#E2E2E6</t>
        </is>
      </c>
      <c r="D32" s="5" t="inlineStr">
        <is>
          <t>surfaceContainer</t>
        </is>
      </c>
      <c r="E32" s="5" t="inlineStr">
        <is>
          <t>#1B2329</t>
        </is>
      </c>
      <c r="F32" s="5" t="inlineStr">
        <is>
          <t>Text</t>
        </is>
      </c>
      <c r="G32" s="9" t="n">
        <v>12.32</v>
      </c>
      <c r="H32" s="5" t="n">
        <v>4.5</v>
      </c>
      <c r="I32" s="5" t="inlineStr">
        <is>
          <t>AAA</t>
        </is>
      </c>
      <c r="J32" s="5">
        <f>IF(G32&gt;=H32,"PASS","FAIL")</f>
        <v/>
      </c>
    </row>
    <row r="33">
      <c r="A33" s="6" t="inlineStr">
        <is>
          <t>dark</t>
        </is>
      </c>
      <c r="B33" s="6" t="inlineStr">
        <is>
          <t>onSurface</t>
        </is>
      </c>
      <c r="C33" s="6" t="inlineStr">
        <is>
          <t>#E2E2E6</t>
        </is>
      </c>
      <c r="D33" s="6" t="inlineStr">
        <is>
          <t>surfaceContainerHigh</t>
        </is>
      </c>
      <c r="E33" s="6" t="inlineStr">
        <is>
          <t>#1F2830</t>
        </is>
      </c>
      <c r="F33" s="6" t="inlineStr">
        <is>
          <t>Text</t>
        </is>
      </c>
      <c r="G33" s="10" t="n">
        <v>11.57</v>
      </c>
      <c r="H33" s="6" t="n">
        <v>4.5</v>
      </c>
      <c r="I33" s="6" t="inlineStr">
        <is>
          <t>AAA</t>
        </is>
      </c>
      <c r="J33" s="6">
        <f>IF(G33&gt;=H33,"PASS","FAIL")</f>
        <v/>
      </c>
    </row>
    <row r="34">
      <c r="A34" s="5" t="inlineStr">
        <is>
          <t>dark</t>
        </is>
      </c>
      <c r="B34" s="5" t="inlineStr">
        <is>
          <t>onSurface</t>
        </is>
      </c>
      <c r="C34" s="5" t="inlineStr">
        <is>
          <t>#E2E2E6</t>
        </is>
      </c>
      <c r="D34" s="5" t="inlineStr">
        <is>
          <t>surfaceContainerHighest</t>
        </is>
      </c>
      <c r="E34" s="5" t="inlineStr">
        <is>
          <t>#212A32</t>
        </is>
      </c>
      <c r="F34" s="5" t="inlineStr">
        <is>
          <t>Text</t>
        </is>
      </c>
      <c r="G34" s="9" t="n">
        <v>11.27</v>
      </c>
      <c r="H34" s="5" t="n">
        <v>4.5</v>
      </c>
      <c r="I34" s="5" t="inlineStr">
        <is>
          <t>AAA</t>
        </is>
      </c>
      <c r="J34" s="5">
        <f>IF(G34&gt;=H34,"PASS","FAIL")</f>
        <v/>
      </c>
    </row>
    <row r="35">
      <c r="A35" s="6" t="inlineStr">
        <is>
          <t>dark</t>
        </is>
      </c>
      <c r="B35" s="6" t="inlineStr">
        <is>
          <t>onInverseSurface</t>
        </is>
      </c>
      <c r="C35" s="6" t="inlineStr">
        <is>
          <t>#2E3133</t>
        </is>
      </c>
      <c r="D35" s="6" t="inlineStr">
        <is>
          <t>inverseSurface</t>
        </is>
      </c>
      <c r="E35" s="6" t="inlineStr">
        <is>
          <t>#E2E2E6</t>
        </is>
      </c>
      <c r="F35" s="6" t="inlineStr">
        <is>
          <t>Text</t>
        </is>
      </c>
      <c r="G35" s="10" t="n">
        <v>10.14</v>
      </c>
      <c r="H35" s="6" t="n">
        <v>4.5</v>
      </c>
      <c r="I35" s="6" t="inlineStr">
        <is>
          <t>AAA</t>
        </is>
      </c>
      <c r="J35" s="6">
        <f>IF(G35&gt;=H35,"PASS","FAIL")</f>
        <v/>
      </c>
    </row>
    <row r="36">
      <c r="A36" s="5" t="inlineStr">
        <is>
          <t>dark</t>
        </is>
      </c>
      <c r="B36" s="5" t="inlineStr">
        <is>
          <t>outline</t>
        </is>
      </c>
      <c r="C36" s="5" t="inlineStr">
        <is>
          <t>#8B9198</t>
        </is>
      </c>
      <c r="D36" s="5" t="inlineStr">
        <is>
          <t>surface</t>
        </is>
      </c>
      <c r="E36" s="5" t="inlineStr">
        <is>
          <t>#101416</t>
        </is>
      </c>
      <c r="F36" s="5" t="inlineStr">
        <is>
          <t>Non-text (SC 1.4.11)</t>
        </is>
      </c>
      <c r="G36" s="9" t="n">
        <v>5.82</v>
      </c>
      <c r="H36" s="5" t="n">
        <v>3</v>
      </c>
      <c r="I36" s="5" t="inlineStr">
        <is>
          <t>AAA</t>
        </is>
      </c>
      <c r="J36" s="5">
        <f>IF(G36&gt;=H36,"PASS","FAIL")</f>
        <v/>
      </c>
    </row>
    <row r="37">
      <c r="A37" s="6" t="inlineStr">
        <is>
          <t>dark</t>
        </is>
      </c>
      <c r="B37" s="6" t="inlineStr">
        <is>
          <t>primary</t>
        </is>
      </c>
      <c r="C37" s="6" t="inlineStr">
        <is>
          <t>#9BCBFF</t>
        </is>
      </c>
      <c r="D37" s="6" t="inlineStr">
        <is>
          <t>surface</t>
        </is>
      </c>
      <c r="E37" s="6" t="inlineStr">
        <is>
          <t>#101416</t>
        </is>
      </c>
      <c r="F37" s="6" t="inlineStr">
        <is>
          <t>Non-text (SC 1.4.11)</t>
        </is>
      </c>
      <c r="G37" s="10" t="n">
        <v>10.92</v>
      </c>
      <c r="H37" s="6" t="n">
        <v>3</v>
      </c>
      <c r="I37" s="6" t="inlineStr">
        <is>
          <t>AAA</t>
        </is>
      </c>
      <c r="J37" s="6">
        <f>IF(G37&gt;=H37,"PASS","FAIL")</f>
        <v/>
      </c>
    </row>
    <row r="38">
      <c r="A38" s="5" t="inlineStr">
        <is>
          <t>dark</t>
        </is>
      </c>
      <c r="B38" s="5" t="inlineStr">
        <is>
          <t>onSurface</t>
        </is>
      </c>
      <c r="C38" s="5" t="inlineStr">
        <is>
          <t>#E2E2E6</t>
        </is>
      </c>
      <c r="D38" s="5" t="inlineStr">
        <is>
          <t>elevation.level0</t>
        </is>
      </c>
      <c r="E38" s="5" t="inlineStr">
        <is>
          <t>#101416</t>
        </is>
      </c>
      <c r="F38" s="5" t="inlineStr">
        <is>
          <t>Text (elevation ladder)</t>
        </is>
      </c>
      <c r="G38" s="9" t="n">
        <v>14.34</v>
      </c>
      <c r="H38" s="5" t="n">
        <v>4.5</v>
      </c>
      <c r="I38" s="5" t="inlineStr">
        <is>
          <t>AAA</t>
        </is>
      </c>
      <c r="J38" s="5">
        <f>IF(G38&gt;=H38,"PASS","FAIL")</f>
        <v/>
      </c>
    </row>
    <row r="39">
      <c r="A39" s="6" t="inlineStr">
        <is>
          <t>dark</t>
        </is>
      </c>
      <c r="B39" s="6" t="inlineStr">
        <is>
          <t>onSurface</t>
        </is>
      </c>
      <c r="C39" s="6" t="inlineStr">
        <is>
          <t>#E2E2E6</t>
        </is>
      </c>
      <c r="D39" s="6" t="inlineStr">
        <is>
          <t>elevation.level1</t>
        </is>
      </c>
      <c r="E39" s="6" t="inlineStr">
        <is>
          <t>#171D22</t>
        </is>
      </c>
      <c r="F39" s="6" t="inlineStr">
        <is>
          <t>Text (elevation ladder)</t>
        </is>
      </c>
      <c r="G39" s="10" t="n">
        <v>13.16</v>
      </c>
      <c r="H39" s="6" t="n">
        <v>4.5</v>
      </c>
      <c r="I39" s="6" t="inlineStr">
        <is>
          <t>AAA</t>
        </is>
      </c>
      <c r="J39" s="6">
        <f>IF(G39&gt;=H39,"PASS","FAIL")</f>
        <v/>
      </c>
    </row>
    <row r="40">
      <c r="A40" s="5" t="inlineStr">
        <is>
          <t>dark</t>
        </is>
      </c>
      <c r="B40" s="5" t="inlineStr">
        <is>
          <t>onSurface</t>
        </is>
      </c>
      <c r="C40" s="5" t="inlineStr">
        <is>
          <t>#E2E2E6</t>
        </is>
      </c>
      <c r="D40" s="5" t="inlineStr">
        <is>
          <t>elevation.level2</t>
        </is>
      </c>
      <c r="E40" s="5" t="inlineStr">
        <is>
          <t>#1B2329</t>
        </is>
      </c>
      <c r="F40" s="5" t="inlineStr">
        <is>
          <t>Text (elevation ladder)</t>
        </is>
      </c>
      <c r="G40" s="9" t="n">
        <v>12.32</v>
      </c>
      <c r="H40" s="5" t="n">
        <v>4.5</v>
      </c>
      <c r="I40" s="5" t="inlineStr">
        <is>
          <t>AAA</t>
        </is>
      </c>
      <c r="J40" s="5">
        <f>IF(G40&gt;=H40,"PASS","FAIL")</f>
        <v/>
      </c>
    </row>
    <row r="41">
      <c r="A41" s="6" t="inlineStr">
        <is>
          <t>dark</t>
        </is>
      </c>
      <c r="B41" s="6" t="inlineStr">
        <is>
          <t>onSurface</t>
        </is>
      </c>
      <c r="C41" s="6" t="inlineStr">
        <is>
          <t>#E2E2E6</t>
        </is>
      </c>
      <c r="D41" s="6" t="inlineStr">
        <is>
          <t>elevation.level3</t>
        </is>
      </c>
      <c r="E41" s="6" t="inlineStr">
        <is>
          <t>#1F2830</t>
        </is>
      </c>
      <c r="F41" s="6" t="inlineStr">
        <is>
          <t>Text (elevation ladder)</t>
        </is>
      </c>
      <c r="G41" s="10" t="n">
        <v>11.57</v>
      </c>
      <c r="H41" s="6" t="n">
        <v>4.5</v>
      </c>
      <c r="I41" s="6" t="inlineStr">
        <is>
          <t>AAA</t>
        </is>
      </c>
      <c r="J41" s="6">
        <f>IF(G41&gt;=H41,"PASS","FAIL")</f>
        <v/>
      </c>
    </row>
    <row r="42">
      <c r="A42" s="5" t="inlineStr">
        <is>
          <t>dark</t>
        </is>
      </c>
      <c r="B42" s="5" t="inlineStr">
        <is>
          <t>onSurface</t>
        </is>
      </c>
      <c r="C42" s="5" t="inlineStr">
        <is>
          <t>#E2E2E6</t>
        </is>
      </c>
      <c r="D42" s="5" t="inlineStr">
        <is>
          <t>elevation.level4</t>
        </is>
      </c>
      <c r="E42" s="5" t="inlineStr">
        <is>
          <t>#212A32</t>
        </is>
      </c>
      <c r="F42" s="5" t="inlineStr">
        <is>
          <t>Text (elevation ladder)</t>
        </is>
      </c>
      <c r="G42" s="9" t="n">
        <v>11.27</v>
      </c>
      <c r="H42" s="5" t="n">
        <v>4.5</v>
      </c>
      <c r="I42" s="5" t="inlineStr">
        <is>
          <t>AAA</t>
        </is>
      </c>
      <c r="J42" s="5">
        <f>IF(G42&gt;=H42,"PASS","FAIL")</f>
        <v/>
      </c>
    </row>
    <row r="43">
      <c r="A43" s="6" t="inlineStr">
        <is>
          <t>dark</t>
        </is>
      </c>
      <c r="B43" s="6" t="inlineStr">
        <is>
          <t>onSurface</t>
        </is>
      </c>
      <c r="C43" s="6" t="inlineStr">
        <is>
          <t>#E2E2E6</t>
        </is>
      </c>
      <c r="D43" s="6" t="inlineStr">
        <is>
          <t>elevation.level5</t>
        </is>
      </c>
      <c r="E43" s="6" t="inlineStr">
        <is>
          <t>#232E37</t>
        </is>
      </c>
      <c r="F43" s="6" t="inlineStr">
        <is>
          <t>Text (elevation ladder)</t>
        </is>
      </c>
      <c r="G43" s="10" t="n">
        <v>10.71</v>
      </c>
      <c r="H43" s="6" t="n">
        <v>4.5</v>
      </c>
      <c r="I43" s="6" t="inlineStr">
        <is>
          <t>AAA</t>
        </is>
      </c>
      <c r="J43" s="6">
        <f>IF(G43&gt;=H43,"PASS","FAIL")</f>
        <v/>
      </c>
    </row>
    <row r="44">
      <c r="A44" s="5" t="inlineStr"/>
      <c r="B44" s="5" t="inlineStr"/>
      <c r="C44" s="5" t="inlineStr"/>
      <c r="D44" s="5" t="inlineStr"/>
      <c r="E44" s="5" t="inlineStr"/>
      <c r="F44" s="5" t="inlineStr">
        <is>
          <t>WORST</t>
        </is>
      </c>
      <c r="G44" s="9">
        <f>MIN(G2:G43)</f>
        <v/>
      </c>
      <c r="H44" s="5" t="inlineStr"/>
      <c r="I44" s="5" t="inlineStr">
        <is>
          <t xml:space="preserve"> </t>
        </is>
      </c>
      <c r="J44" s="5">
        <f>IF(COUNTIF(J2:J43,"FAIL")=0,"ALL PASS","FAILURES PRESENT")</f>
        <v/>
      </c>
    </row>
    <row r="45">
      <c r="A45" s="6" t="inlineStr"/>
      <c r="B45" s="6" t="inlineStr"/>
      <c r="C45" s="6" t="inlineStr"/>
      <c r="D45" s="6" t="inlineStr"/>
      <c r="E45" s="6" t="inlineStr"/>
      <c r="F45" s="6" t="inlineStr">
        <is>
          <t>EXEMPT</t>
        </is>
      </c>
      <c r="G45" s="10" t="inlineStr">
        <is>
          <t>outlineVariant</t>
        </is>
      </c>
      <c r="H45" s="6" t="inlineStr"/>
      <c r="I45" s="6" t="inlineStr"/>
      <c r="J45" s="6" t="inlineStr">
        <is>
          <t>Decorative divider - WCAG 2.1 SC 1.4.11 covers graphical objects required to understand content; the meaning-bearing boundary token is "outline", gated at 3.0:1</t>
        </is>
      </c>
    </row>
  </sheetData>
  <autoFilter ref="A1:J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2026-08-13T10:00:28Z</dcterms:created>
  <dcterms:modified xmlns:dcterms="http://purl.org/dc/terms/" xmlns:xsi="http://www.w3.org/2001/XMLSchema-instance" xsi:type="dcterms:W3CDTF">2026-08-13T10:00:29Z</dcterms:modified>
</cp:coreProperties>
</file>