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tep Summary" sheetId="2" state="visible" r:id="rId4"/>
    <sheet name="Gate Register" sheetId="3" state="visible" r:id="rId5"/>
    <sheet name="Contrast Audit" sheetId="4" state="visible" r:id="rId6"/>
  </sheets>
  <definedNames>
    <definedName function="false" hidden="true" localSheetId="3" name="_xlnm._FilterDatabase" vbProcedure="false">'Contrast Audit'!$A$1:$J$45</definedName>
    <definedName function="false" hidden="true" localSheetId="2" name="_xlnm._FilterDatabase" vbProcedure="false">'Gate Register'!$A$1:$K$73</definedName>
    <definedName function="false" hidden="true" localSheetId="1" name="_xlnm._FilterDatabase" vbProcedure="false">'Step Summary'!$A$1:$N$12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<sst xmlns="http://schemas.openxmlformats.org/spreadsheetml/2006/main" count="1034" uniqueCount="457">
  <si>
    <t xml:space="preserve">AISS Verification Evidence Log</t>
  </si>
  <si>
    <t xml:space="preserve">Purpose</t>
  </si>
  <si>
    <t xml:space="preserve">Executable answer to: "How are you checking after each AISS that the output meets the step requirements?"</t>
  </si>
  <si>
    <t xml:space="preserve">Project</t>
  </si>
  <si>
    <t xml:space="preserve">Habot UDF mobile client (Flutter) - habot-mobile/udf_setup</t>
  </si>
  <si>
    <t xml:space="preserve">Owner</t>
  </si>
  <si>
    <t xml:space="preserve">Fredrick</t>
  </si>
  <si>
    <t xml:space="preserve">Date</t>
  </si>
  <si>
    <t xml:space="preserve">11 August 2026</t>
  </si>
  <si>
    <t xml:space="preserve">Requirements source</t>
  </si>
  <si>
    <t xml:space="preserve">My stepsFN06082026.xlsx -&gt; Fredrick sheet (49 columns per step)</t>
  </si>
  <si>
    <t xml:space="preserve">Companion doc</t>
  </si>
  <si>
    <t xml:space="preserve">AISS_Verification_Methodology.md (full narrative)</t>
  </si>
  <si>
    <t xml:space="preserve">How to regenerate</t>
  </si>
  <si>
    <t xml:space="preserve">cd habot-mobile/udf_setup &amp;&amp; ./tool/verify_aiss.sh</t>
  </si>
  <si>
    <t xml:space="preserve">It writes build/aiss/evidence.json and build/aiss/contrast_audit.txt</t>
  </si>
  <si>
    <t xml:space="preserve">Tabs</t>
  </si>
  <si>
    <t xml:space="preserve">Step Summary   - one row per atomic step, metric bands, derived completion status</t>
  </si>
  <si>
    <t xml:space="preserve">Gate Register  - all 72 gates, each with the verbatim requirement it defends</t>
  </si>
  <si>
    <t xml:space="preserve">Contrast Audit - every colour pair and its measured WCAG ratio</t>
  </si>
  <si>
    <t xml:space="preserve">STATUS COLUMN</t>
  </si>
  <si>
    <t xml:space="preserve">"Verified (sandbox)" = the computation was executed and the number is real.</t>
  </si>
  <si>
    <t xml:space="preserve">"Pending local run" = needs flutter analyze / flutter test on Fredrick's Mac.</t>
  </si>
  <si>
    <t xml:space="preserve">Compilation has NOT been run anywhere yet - see Methodology doc section 7.</t>
  </si>
  <si>
    <t xml:space="preserve">OPEN DECISIONS</t>
  </si>
  <si>
    <t xml:space="preserve">1. Brand has not signed off the corporate palette. tokens.json is marked PROVISIONAL.</t>
  </si>
  <si>
    <t xml:space="preserve">2. Zoom lock (RCGLA-012 substep 2) deferred - fails WCAG 2.1 SC 1.4.4. Needs Fredrick decision.</t>
  </si>
  <si>
    <t xml:space="preserve">3. Gutter contradiction between RCGLA-012 (8px) and RCGLA-032 (16px) - resolved in code as two</t>
  </si>
  <si>
    <t xml:space="preserve">   tokens (column gutter 16dp, vertical rhythm 8dp). The source sheet should be reconciled.</t>
  </si>
  <si>
    <t xml:space="preserve">4. SSTLA-004 reviewer quality score (1-5) needs a human. Objective rubric is 5.0/5.0.</t>
  </si>
  <si>
    <t xml:space="preserve">DEFERRED GATES</t>
  </si>
  <si>
    <t xml:space="preserve">A deferral is NOT a pass. The step stays Partial. It only stops the gate runner going</t>
  </si>
  <si>
    <t xml:space="preserve">permanently red so a real regression stays visible. Deferred rows are shaded orange.</t>
  </si>
  <si>
    <t xml:space="preserve">Impl. Order</t>
  </si>
  <si>
    <t xml:space="preserve">Global Ref ID</t>
  </si>
  <si>
    <t xml:space="preserve">Atomic Step Ref ID</t>
  </si>
  <si>
    <t xml:space="preserve">Setup Step (Action)</t>
  </si>
  <si>
    <t xml:space="preserve">Metric Name</t>
  </si>
  <si>
    <t xml:space="preserve">Floor Boundary</t>
  </si>
  <si>
    <t xml:space="preserve">Optimal Target</t>
  </si>
  <si>
    <t xml:space="preserve">Ceiling Boundary</t>
  </si>
  <si>
    <t xml:space="preserve">Observed Value</t>
  </si>
  <si>
    <t xml:space="preserve">Gates Defined</t>
  </si>
  <si>
    <t xml:space="preserve">Gates Deferred</t>
  </si>
  <si>
    <t xml:space="preserve">Gates Passing</t>
  </si>
  <si>
    <t xml:space="preserve">Derived Completion Status</t>
  </si>
  <si>
    <t xml:space="preserve">Best Qualitative Output Scale</t>
  </si>
  <si>
    <t xml:space="preserve">TTMCS-001</t>
  </si>
  <si>
    <t xml:space="preserve">TTMCS-001-A01</t>
  </si>
  <si>
    <t xml:space="preserve">Install and configure the verified Material 3 layout component framework within frontend client packages.</t>
  </si>
  <si>
    <t xml:space="preserve">Business Rule / Threshold Definition Coverage</t>
  </si>
  <si>
    <t xml:space="preserve">90% of rules formally defined</t>
  </si>
  <si>
    <t xml:space="preserve">100% of rules formally defined and peer-reviewed</t>
  </si>
  <si>
    <t xml:space="preserve">100% defined, reviewed, and versioned in approved spec</t>
  </si>
  <si>
    <t xml:space="preserve">7 of 7 declared rules gated = 100%</t>
  </si>
  <si>
    <t xml:space="preserve">Complete / Partial / Not Complete</t>
  </si>
  <si>
    <t xml:space="preserve">RCGLA-001</t>
  </si>
  <si>
    <t xml:space="preserve">RCGLA-001-A01</t>
  </si>
  <si>
    <t xml:space="preserve">Build global corporate style token variables inside the mobile client framework.</t>
  </si>
  <si>
    <t xml:space="preserve">Scope Coverage / Audit Completeness</t>
  </si>
  <si>
    <t xml:space="preserve">80% of relevant items identified</t>
  </si>
  <si>
    <t xml:space="preserve">100% of relevant items identified and logged</t>
  </si>
  <si>
    <t xml:space="preserve">100% identified, logged, cross-checked against spec</t>
  </si>
  <si>
    <t xml:space="preserve">5 of 5 asset families tokenised = 100%</t>
  </si>
  <si>
    <t xml:space="preserve">TTMCS-004</t>
  </si>
  <si>
    <t xml:space="preserve">TTMCS-004-A01</t>
  </si>
  <si>
    <t xml:space="preserve">Configure Atomic Light/Dark Adaptation Tokens</t>
  </si>
  <si>
    <t xml:space="preserve">Material Design Density Compliance (dp)</t>
  </si>
  <si>
    <t xml:space="preserve">4dp minimum spacing</t>
  </si>
  <si>
    <t xml:space="preserve">6-8dp padding / 32-48dp row height</t>
  </si>
  <si>
    <t xml:space="preserve">12dp maximum density</t>
  </si>
  <si>
    <t xml:space="preserve">dense padding 8dp, row height 40dp - inside optimal band</t>
  </si>
  <si>
    <t xml:space="preserve">Good / Average / Poor</t>
  </si>
  <si>
    <t xml:space="preserve">TTMCS-005</t>
  </si>
  <si>
    <t xml:space="preserve">TTMCS-005-A01</t>
  </si>
  <si>
    <t xml:space="preserve">Mobile Dark Mode Contrast Enforcement</t>
  </si>
  <si>
    <t xml:space="preserve">WCAG Colour Contrast Ratio</t>
  </si>
  <si>
    <t xml:space="preserve">4.5:1 (WCAG 2.1 AA minimum)</t>
  </si>
  <si>
    <t xml:space="preserve">7:1 (WCAG 2.1 AAA target)</t>
  </si>
  <si>
    <t xml:space="preserve">No upper bound; avoid glare beyond 21:1</t>
  </si>
  <si>
    <t xml:space="preserve">worst rung 10.71:1, worst pair anywhere 6.54:1</t>
  </si>
  <si>
    <t xml:space="preserve">Pass / Fail</t>
  </si>
  <si>
    <t xml:space="preserve">SSTLA-004</t>
  </si>
  <si>
    <t xml:space="preserve">SSTLA-004-A01</t>
  </si>
  <si>
    <t xml:space="preserve">Define the exact base breakpoint, column count, fluid margin, and gutter widths for the core mobile experience.</t>
  </si>
  <si>
    <t xml:space="preserve">Task Execution Quality Score (1-5 scale)</t>
  </si>
  <si>
    <t xml:space="preserve">3.5</t>
  </si>
  <si>
    <t xml:space="preserve">4.5</t>
  </si>
  <si>
    <t xml:space="preserve">5.0</t>
  </si>
  <si>
    <t xml:space="preserve">objective rubric 5.0/5.0; REVIEWER SCORE PENDING (human input required)</t>
  </si>
  <si>
    <t xml:space="preserve">RCGLA-012</t>
  </si>
  <si>
    <t xml:space="preserve">RCGLA-012-A01</t>
  </si>
  <si>
    <t xml:space="preserve">Initialize Atomic Grid System &amp; Mobile Viewport Constraints</t>
  </si>
  <si>
    <t xml:space="preserve">Asset/Resource Location &amp; Access Confirmation</t>
  </si>
  <si>
    <t xml:space="preserve">0.8</t>
  </si>
  <si>
    <t xml:space="preserve">0.95</t>
  </si>
  <si>
    <t xml:space="preserve">1.0</t>
  </si>
  <si>
    <t xml:space="preserve">1.0 - grid config reachable from one documented location; 2 gates DEFERRED (zoom lock, CLS)</t>
  </si>
  <si>
    <t xml:space="preserve">RCGLA-032</t>
  </si>
  <si>
    <t xml:space="preserve">RCGLA-032-A01</t>
  </si>
  <si>
    <t xml:space="preserve">Configure the MD3 adaptive 4-column fluid layout token engine for mobile screens.</t>
  </si>
  <si>
    <t xml:space="preserve">Asset/Resource Location &amp; Access Confirmation (dp band)</t>
  </si>
  <si>
    <t xml:space="preserve">4dp</t>
  </si>
  <si>
    <t xml:space="preserve">8dp</t>
  </si>
  <si>
    <t xml:space="preserve">16dp</t>
  </si>
  <si>
    <t xml:space="preserve">vertical rhythm 8dp - sits exactly on the Optimal target</t>
  </si>
  <si>
    <t xml:space="preserve">RCGLA-018</t>
  </si>
  <si>
    <t xml:space="preserve">RCGLA-018-A01</t>
  </si>
  <si>
    <t xml:space="preserve">Universal Master Layout Architecture</t>
  </si>
  <si>
    <t xml:space="preserve">100% identified and logged in an inventory register</t>
  </si>
  <si>
    <t xml:space="preserve">100% of discovered screens use the master wrapper</t>
  </si>
  <si>
    <t xml:space="preserve">Complete</t>
  </si>
  <si>
    <t xml:space="preserve">ANSA-012</t>
  </si>
  <si>
    <t xml:space="preserve">ANSA-012-A01</t>
  </si>
  <si>
    <t xml:space="preserve">Establish Contextual Navigation Header Framework.</t>
  </si>
  <si>
    <t xml:space="preserve">Environment / Asset Access Readiness</t>
  </si>
  <si>
    <t xml:space="preserve">Located on first attempt</t>
  </si>
  <si>
    <t xml:space="preserve">Path version-controlled &amp; documented</t>
  </si>
  <si>
    <t xml:space="preserve">N/A (one-time setup)</t>
  </si>
  <si>
    <t xml:space="preserve">Header module version-controlled at one documented path</t>
  </si>
  <si>
    <t xml:space="preserve">TTMAC-011</t>
  </si>
  <si>
    <t xml:space="preserve">TTMAC-011-A01</t>
  </si>
  <si>
    <t xml:space="preserve">Touch-Target Optimization Framework Setup (48x48 dp Minimum Interaction Nodes).</t>
  </si>
  <si>
    <t xml:space="preserve">All rendered targets measured &gt;= 48dp across 3 device profiles</t>
  </si>
  <si>
    <t xml:space="preserve">TOTAL</t>
  </si>
  <si>
    <t xml:space="preserve">#</t>
  </si>
  <si>
    <t xml:space="preserve">Gate ID</t>
  </si>
  <si>
    <t xml:space="preserve">Requirement Defended (verbatim from step sheet)</t>
  </si>
  <si>
    <t xml:space="preserve">What the Gate Asserts</t>
  </si>
  <si>
    <t xml:space="preserve">Gate Type</t>
  </si>
  <si>
    <t xml:space="preserve">Status</t>
  </si>
  <si>
    <t xml:space="preserve">Executed in Sandbox?</t>
  </si>
  <si>
    <t xml:space="preserve">Result (fill after local run)</t>
  </si>
  <si>
    <t xml:space="preserve">TTMCS-001-G1</t>
  </si>
  <si>
    <t xml:space="preserve">4 Substeps #1: "Add the modern design library package framework to the project development dependencies."</t>
  </si>
  <si>
    <t xml:space="preserve">Material 3 is enabled on both themes</t>
  </si>
  <si>
    <t xml:space="preserve">Unit / static</t>
  </si>
  <si>
    <t xml:space="preserve">Active</t>
  </si>
  <si>
    <t xml:space="preserve">No - needs flutter test</t>
  </si>
  <si>
    <t xml:space="preserve">TTMCS-001-G2</t>
  </si>
  <si>
    <t xml:space="preserve">4 Substeps #2: "Instantiate the global theme configuration adapter at the layout layer."</t>
  </si>
  <si>
    <t xml:space="preserve">Both themes expose the HabotTokens extension and correct brightness</t>
  </si>
  <si>
    <t xml:space="preserve">TTMCS-001-G3</t>
  </si>
  <si>
    <t xml:space="preserve">What Standardized Must Be Done: "All custom user interfaces must use pre-verified design tokens explicitly."</t>
  </si>
  <si>
    <t xml:space="preserve">Every ColorScheme role resolves to the pinned brand token</t>
  </si>
  <si>
    <t xml:space="preserve">TTMCS-001-G4</t>
  </si>
  <si>
    <t xml:space="preserve">4 Substeps #3: "Configure global fluid containers that reflow components dynamically based on screen widths."</t>
  </si>
  <si>
    <t xml:space="preserve">Window class and column count reflow across every breakpoint</t>
  </si>
  <si>
    <t xml:space="preserve">TTMCS-001-G5</t>
  </si>
  <si>
    <t xml:space="preserve">Mobile-First &amp; Responsive UX MD Decision: "Sidebar navigation components auto-collapse smoothly on screen layout sizes under 768px."</t>
  </si>
  <si>
    <t xml:space="preserve">Navigation collapse threshold is exactly 768dp, boundary-inclusive</t>
  </si>
  <si>
    <t xml:space="preserve">TTMCS-001-G6</t>
  </si>
  <si>
    <t xml:space="preserve">Mobile-First &amp; Responsive UI MD Decision: "UI page frames apply subtle dynamic linear gradients (#F2F6F9 to #EEF2F6)."</t>
  </si>
  <si>
    <t xml:space="preserve">Light page frame carries the two specified gradient stops</t>
  </si>
  <si>
    <t xml:space="preserve">Yes - value computed</t>
  </si>
  <si>
    <t xml:space="preserve">TTMCS-001-G7</t>
  </si>
  <si>
    <t xml:space="preserve">4 Substeps #4: "Run automated interface rendering tests to confirm uniform component appearance across target device emulators."</t>
  </si>
  <si>
    <t xml:space="preserve">App renders overflow-free at 320/393/744/1024dp widths</t>
  </si>
  <si>
    <t xml:space="preserve">Widget / runtime</t>
  </si>
  <si>
    <t xml:space="preserve">RCGLA-001-G1</t>
  </si>
  <si>
    <t xml:space="preserve">4 Substeps #1: "Map semantic spacing constants (margins, paddings, column gaps) inside theme configurations." + Mobile-First UI Decision: "Apply forced 8dp baseline grid steps."</t>
  </si>
  <si>
    <t xml:space="preserve">Every spacing token sits on the 4dp sub-baseline, and all steps above the sub-baseline sit on the 8dp baseline</t>
  </si>
  <si>
    <t xml:space="preserve">RCGLA-001-G2</t>
  </si>
  <si>
    <t xml:space="preserve">4 Substeps #2: "Implement an adaptive 4-column layout matrix optimized for compact smartphone screens."</t>
  </si>
  <si>
    <t xml:space="preserve">Compact matrix is 4 columns, and column arithmetic never goes negative down to the 320dp floor</t>
  </si>
  <si>
    <t xml:space="preserve">WCAG contrast</t>
  </si>
  <si>
    <t xml:space="preserve">RCGLA-001-G3</t>
  </si>
  <si>
    <t xml:space="preserve">4 Substeps #3: "Code standardized element elevation levels and background shadow weight variables."</t>
  </si>
  <si>
    <t xml:space="preserve">Elevation ladder is complete, monotonic, and defined for both schemes</t>
  </si>
  <si>
    <t xml:space="preserve">RCGLA-001-G4</t>
  </si>
  <si>
    <t xml:space="preserve">Setup Step Description: "Gather all brand identity assets -- color palette, typography, spacing, iconography, elevation." + Data Collected: Font Name; Font Size; Line Height; Font Weight; Font File Path</t>
  </si>
  <si>
    <t xml:space="preserve">All 15 MD3 type roles are defined with size, line height and weight, and every TextTheme slot is populated from them</t>
  </si>
  <si>
    <t xml:space="preserve">RCGLA-001-G5</t>
  </si>
  <si>
    <t xml:space="preserve">TTMCS-001 UX Implementation: "Component container borders match rigid brand theme rules precisely."</t>
  </si>
  <si>
    <t xml:space="preserve">Corner radii are non-negative, ascending, and on the 4dp sub-baseline</t>
  </si>
  <si>
    <t xml:space="preserve">RCGLA-001-G6</t>
  </si>
  <si>
    <t xml:space="preserve">Common Library to Store: "universal_library/ui/theme/tokens.json" -- the token file is the source of truth, Dart mirrors it.</t>
  </si>
  <si>
    <t xml:space="preserve">Every Dart token constant matches tokens.json exactly (no drift)</t>
  </si>
  <si>
    <t xml:space="preserve">Token drift</t>
  </si>
  <si>
    <t xml:space="preserve">TTMCS-004-G1</t>
  </si>
  <si>
    <t xml:space="preserve">4 Substeps #1: "Set up standard Material Design 3 dynamic color tokens using unified root custom properties."</t>
  </si>
  <si>
    <t xml:space="preserve">Both schemes define all 28 MD3 semantic roles, and every token is opaque</t>
  </si>
  <si>
    <t xml:space="preserve">TTMCS-004-G2</t>
  </si>
  <si>
    <t xml:space="preserve">Why This Matters: "high ambient sunlight demands high-contrast light layouts, low-light night conditions require deep dark interfaces."</t>
  </si>
  <si>
    <t xml:space="preserve">Light surface is genuinely light and dark surface genuinely dark</t>
  </si>
  <si>
    <t xml:space="preserve">TTMCS-004-G3</t>
  </si>
  <si>
    <t xml:space="preserve">Completion Measures: "Automated verification confirming a minimum 4.5:1 contrast ratio across all dynamic layout color pairs."</t>
  </si>
  <si>
    <t xml:space="preserve">Zero contrast failures across every audited pair in both schemes</t>
  </si>
  <si>
    <t xml:space="preserve">TTMCS-004-G4</t>
  </si>
  <si>
    <t xml:space="preserve">Mobile-First UI Decision: "Enforce primary text contrast levels checking out above WCAG AA standard mobile parameters."</t>
  </si>
  <si>
    <t xml:space="preserve">Primary body text pairs clear the 7:1 AAA optimum, not just the AA floor</t>
  </si>
  <si>
    <t xml:space="preserve">TTMCS-004-G5</t>
  </si>
  <si>
    <t xml:space="preserve">Metric row: "Material Design Density Compliance (dp)" -- Floor 4dp, Optimal 6-8dp padding / 32-48dp row height, Ceiling 12dp.</t>
  </si>
  <si>
    <t xml:space="preserve">Shipped dense values sit inside the optimal band, never past the ceiling</t>
  </si>
  <si>
    <t xml:space="preserve">TTMCS-004-G6</t>
  </si>
  <si>
    <t xml:space="preserve">Substep #4: "Implement explicit accessibility contrast-checking workflows mapping directly to WCAG AA mobile layout rules."</t>
  </si>
  <si>
    <t xml:space="preserve">Contrast engine reproduces the WCAG reference values</t>
  </si>
  <si>
    <t xml:space="preserve">TTMCS-004-G7</t>
  </si>
  <si>
    <t xml:space="preserve">4 Substeps #2: "Write an atomic preference hook listening directly to system dark preferences."</t>
  </si>
  <si>
    <t xml:space="preserve">Controller tracks OS brightness in system mode and suppresses notifications when a mode is pinned</t>
  </si>
  <si>
    <t xml:space="preserve">TTMCS-004-G8</t>
  </si>
  <si>
    <t xml:space="preserve">4 Substeps #3: "Build a performance-optimized theme container that switches modes cleanly without triggering full component reflows."</t>
  </si>
  <si>
    <t xml:space="preserve">Only widgets that depend on HabotThemeScope rebuild on a theme-mode change</t>
  </si>
  <si>
    <t xml:space="preserve">TTMCS-004-G9</t>
  </si>
  <si>
    <t xml:space="preserve">User Interaction / Flow Impact: "Users experience an instantaneous, cohesive theme shift that requires zero manually triggered application configurations."</t>
  </si>
  <si>
    <t xml:space="preserve">End-to-end theme switch swaps the live ColorScheme to the dark brand tokens</t>
  </si>
  <si>
    <t xml:space="preserve">TTMCS-005-G1</t>
  </si>
  <si>
    <t xml:space="preserve">4 Substeps #1: "Surface elevation tokens." + TTMCS-004 UX Decision: "Utilize structural elevation overlays instead of deep drop shadows to indicate component layering in dark configurations."</t>
  </si>
  <si>
    <t xml:space="preserve">Dark ladder is strictly lightening across all 6 levels (layering is readable without any shadow)</t>
  </si>
  <si>
    <t xml:space="preserve">TTMCS-005-G2</t>
  </si>
  <si>
    <t xml:space="preserve">Atomic Reusability: "Centralized design token parameters managed by a Theme Provider Component stored in the UI Core Lib."</t>
  </si>
  <si>
    <t xml:space="preserve">Committed dark surface literals re-derive exactly from the documented overlay alphas (no hand-edited drift)</t>
  </si>
  <si>
    <t xml:space="preserve">TTMCS-005-G3</t>
  </si>
  <si>
    <t xml:space="preserve">Poka-Yoke: "Build validation blocks compilation if color ratios test below a hard 4.5:1 ratio threshold." + Metric Floor 4.5:1.</t>
  </si>
  <si>
    <t xml:space="preserve">Body text clears the 4.5:1 floor on every rung of the dark elevation ladder, including level 5</t>
  </si>
  <si>
    <t xml:space="preserve">TTMCS-005-G4</t>
  </si>
  <si>
    <t xml:space="preserve">Metric row: Optimal Target "7:1 (WCAG 2.1 Level AAA target)".</t>
  </si>
  <si>
    <t xml:space="preserve">Every rung of the dark ladder also clears the 7:1 AAA optimum</t>
  </si>
  <si>
    <t xml:space="preserve">TTMCS-005-G5</t>
  </si>
  <si>
    <t xml:space="preserve">Metric row: Ceiling "No upper bound required -- avoid glare/over-contrast beyond 21:1".</t>
  </si>
  <si>
    <t xml:space="preserve">No audited pair exceeds the physical 21:1 maximum</t>
  </si>
  <si>
    <t xml:space="preserve">TTMCS-005-G6</t>
  </si>
  <si>
    <t xml:space="preserve">4 Substeps #3: "Brand color adjustments."</t>
  </si>
  <si>
    <t xml:space="preserve">Brand roles are re-toned for dark rather than reused from light</t>
  </si>
  <si>
    <t xml:space="preserve">TTMCS-005-G7</t>
  </si>
  <si>
    <t xml:space="preserve">TTMCS-004 UX Decision: elevation overlays "instead of deep drop shadows" in dark configurations.</t>
  </si>
  <si>
    <t xml:space="preserve">Dark theme suppresses shadow colour and enables the elevation overlay</t>
  </si>
  <si>
    <t xml:space="preserve">TTMCS-005-G8</t>
  </si>
  <si>
    <t xml:space="preserve">Expected Output: "CSS Token Variables" (Flutter equivalent: the typed ThemeExtension carried on ThemeData).</t>
  </si>
  <si>
    <t xml:space="preserve">HabotTokens exposes the correct ladder for each brightness</t>
  </si>
  <si>
    <t xml:space="preserve">SSTLA-004-G1</t>
  </si>
  <si>
    <t xml:space="preserve">Setup Step (Action): "Define the exact base breakpoint, column count, fluid margin, and gutter widths for the core mobile experience."</t>
  </si>
  <si>
    <t xml:space="preserve">All four values are decided, recorded in the JSON, and match the code</t>
  </si>
  <si>
    <t xml:space="preserve">SSTLA-004-G2</t>
  </si>
  <si>
    <t xml:space="preserve">Setup Step Description: "Collate cross-device screen resolution metrics for target mobile, tablet, and desktop viewports."</t>
  </si>
  <si>
    <t xml:space="preserve">Matrix covers mobile, tablet and desktop, and every device carries all five required atomic data fields</t>
  </si>
  <si>
    <t xml:space="preserve">SSTLA-004-G3</t>
  </si>
  <si>
    <t xml:space="preserve">Why This Matters: "preventing viewport overflow bugs ... across varying mobile viewports." + User Interaction: "Prevents accidental visual clipping of primary CTAs on tight displays."</t>
  </si>
  <si>
    <t xml:space="preserve">At every device width in the matrix, one grid column is still wide enough to hold a 48dp touch target</t>
  </si>
  <si>
    <t xml:space="preserve">SSTLA-004-G4</t>
  </si>
  <si>
    <t xml:space="preserve">CONFLICT RESOLUTION -- RCGLA-012 says "16px ... with an 8px gutter grid system"; RCGLA-032 substep 1 says "16px outer margin and a 16px column gutter". Resolved into two tokens.</t>
  </si>
  <si>
    <t xml:space="preserve">Column gutter is 16dp, vertical rhythm is 8dp, and the resolution is documented in the JSON rather than left implicit</t>
  </si>
  <si>
    <t xml:space="preserve">SSTLA-004-G5</t>
  </si>
  <si>
    <t xml:space="preserve">Expected Output: "Approved JSON Token File".</t>
  </si>
  <si>
    <t xml:space="preserve">Every device in device_matrix.json is mirrored exactly in Dart</t>
  </si>
  <si>
    <t xml:space="preserve">SSTLA-004-G6</t>
  </si>
  <si>
    <t xml:space="preserve">Metric: "Task Execution Quality Score (1-5 scale)" -- Floor 3.5, Optimal 4.5, Ceiling 5.0. Standard/Reference: "scored by a reviewer against a defined rubric."</t>
  </si>
  <si>
    <t xml:space="preserve">Objective rubric coverage reaches 5.0/5.0 (the reviewer score is a separate human input and is NOT self-awarded here)</t>
  </si>
  <si>
    <t xml:space="preserve">SSTLA-004-G7</t>
  </si>
  <si>
    <t xml:space="preserve">Expected Output: "an interactive structural layout wireframe for compact mobile devices."</t>
  </si>
  <si>
    <t xml:space="preserve">Wireframe overlay paints the grid at 320dp and passes pointers through to the content beneath</t>
  </si>
  <si>
    <t xml:space="preserve">SSTLA-004-G8</t>
  </si>
  <si>
    <t xml:space="preserve">Why This Matters: "Eliminates arbitrary layout configurations across team members."</t>
  </si>
  <si>
    <t xml:space="preserve">The on-screen readout is generated from the tokens, so it can never disagree with the decision record</t>
  </si>
  <si>
    <t xml:space="preserve">RCGLA-012-G1</t>
  </si>
  <si>
    <t xml:space="preserve">4 Substeps #1: "Define layout breakpoints in the common library configuration (xs: 0px, sm: 600px)."</t>
  </si>
  <si>
    <t xml:space="preserve">xs and sm breakpoints are defined at exactly 0 and 600 and drive the window-class resolver</t>
  </si>
  <si>
    <t xml:space="preserve">RCGLA-012-G2</t>
  </si>
  <si>
    <t xml:space="preserve">4 Substeps #2: "Configure HTML Meta viewport tags to disallow user-scalable zooming."</t>
  </si>
  <si>
    <t xml:space="preserve">Viewport meta tag pins width and initial scale; the user-scalable=no clause is DEFERRED because it fails WCAG 2.1 SC 1.4.4 and contradicts TTMCS-004/005. Awaiting Fredrick decision.</t>
  </si>
  <si>
    <t xml:space="preserve">DEFERRED</t>
  </si>
  <si>
    <t xml:space="preserve">RCGLA-012-G3</t>
  </si>
  <si>
    <t xml:space="preserve">4 Substeps #3: "Build a pure MobileGridContainer component restricted to 20 lines."</t>
  </si>
  <si>
    <t xml:space="preserve">MobileGridContainer.build is 20 executable lines or fewer, and the widget is pure (no Theme, MediaQuery or state)</t>
  </si>
  <si>
    <t xml:space="preserve">RCGLA-012-G4</t>
  </si>
  <si>
    <t xml:space="preserve">4 Substeps #4: "Implement automated build-time linting to flag hardcoded pixel values." + Poka-Yoke: "break compilation if outer layout wrappers contain hardcoded fixed pixel widths over 360px."</t>
  </si>
  <si>
    <t xml:space="preserve">The pixel-width ceiling is defined and no layout file declares a hardcoded wrapper width above it</t>
  </si>
  <si>
    <t xml:space="preserve">RCGLA-012-G5</t>
  </si>
  <si>
    <t xml:space="preserve">UX Translation: "standard 16px fluid outer margins and a continuous 8px vertical rhythm alignment."</t>
  </si>
  <si>
    <t xml:space="preserve">Outer margin is 16dp and the vertical rhythm is 8dp</t>
  </si>
  <si>
    <t xml:space="preserve">RCGLA-012-G6</t>
  </si>
  <si>
    <t xml:space="preserve">Completion Measures: "Zero instances of horizontal scrollbars across simulated iPhone SE, 14 Pro, and Pixel devices."</t>
  </si>
  <si>
    <t xml:space="preserve">App and MobileGridContainer render inside the viewport at 320, 393 and 393dp with zero overflow exceptions</t>
  </si>
  <si>
    <t xml:space="preserve">RCGLA-012-G7</t>
  </si>
  <si>
    <t xml:space="preserve">Completion Measures: "Cumulative Layout Shift (CLS) scores tracking strictly under 0.05."</t>
  </si>
  <si>
    <t xml:space="preserve">CLS is a browser metric; needs a Lighthouse run in CI against the web build. NOT measured by this suite.</t>
  </si>
  <si>
    <t xml:space="preserve">RCGLA-032-G1</t>
  </si>
  <si>
    <t xml:space="preserve">4 Substeps #1: "Define global system layout properties with a 16px outer margin and a 16px column gutter spacing profile."</t>
  </si>
  <si>
    <t xml:space="preserve">Outer margin and column gutter are both exactly 16dp</t>
  </si>
  <si>
    <t xml:space="preserve">RCGLA-032-G2</t>
  </si>
  <si>
    <t xml:space="preserve">4 Substeps #2: "Implement an automated viewport listener that flags any element trying to split into more than 4 vertical segments on mobile viewports."</t>
  </si>
  <si>
    <t xml:space="preserve">Segment limit is 4 on compact, clamping is applied, and the violation is reported rather than swallowed</t>
  </si>
  <si>
    <t xml:space="preserve">RCGLA-032-G3</t>
  </si>
  <si>
    <t xml:space="preserve">Mobile-First UX Decision: "Follow MD3 compact window-size class guidelines explicitly."</t>
  </si>
  <si>
    <t xml:space="preserve">Every phone in the device matrix resolves to the compact class with a 4-column matrix</t>
  </si>
  <si>
    <t xml:space="preserve">RCGLA-032-G4</t>
  </si>
  <si>
    <t xml:space="preserve">Mobile-First UX Implementation: "Set container dimensions using relative percentages to ensure fluid elasticity across diverse aspect ratios."</t>
  </si>
  <si>
    <t xml:space="preserve">Column width scales continuously with viewport width -- no fixed widths anywhere in the arithmetic</t>
  </si>
  <si>
    <t xml:space="preserve">RCGLA-032-G5</t>
  </si>
  <si>
    <t xml:space="preserve">4 Substeps #3: "Wrap all application view components inside a global layout boundary container component."</t>
  </si>
  <si>
    <t xml:space="preserve">HabotLayoutBoundary publishes window class + column count and reports an over-limit span through LayoutBoundaryReporter</t>
  </si>
  <si>
    <t xml:space="preserve">RCGLA-032-G6</t>
  </si>
  <si>
    <t xml:space="preserve">What Standardized Must Be Done: "All sub-feature layouts must wrap within the unified responsive grid component layout."</t>
  </si>
  <si>
    <t xml:space="preserve">A view outside the layout boundary throws a readable error instead of falling back to an invented layout</t>
  </si>
  <si>
    <t xml:space="preserve">RCGLA-032-G7</t>
  </si>
  <si>
    <t xml:space="preserve">4 Substeps #4: "Write automatic viewport-testing checks to evaluate layout rendering across common compact resolutions (360px, 375px, and 412px)." + Completion Measures: "Zero horizontal scrollbars ... down to 320px width."</t>
  </si>
  <si>
    <t xml:space="preserve">App renders clean with zero segment violations at 320, 360, 375 and 412dp</t>
  </si>
  <si>
    <t xml:space="preserve">RCGLA-018-G1</t>
  </si>
  <si>
    <t xml:space="preserve">4 Substeps #1: "Build primary scaffold locking metrics."</t>
  </si>
  <si>
    <t xml:space="preserve">The scaffold hard-codes its own margins from tokens and wraps every body in the layout boundary</t>
  </si>
  <si>
    <t xml:space="preserve">RCGLA-018-G2</t>
  </si>
  <si>
    <t xml:space="preserve">4 Substeps #2: "Implement configurable child prop targets."</t>
  </si>
  <si>
    <t xml:space="preserve">Scaffold exposes exactly the four content slots and nothing else that could carry layout</t>
  </si>
  <si>
    <t xml:space="preserve">RCGLA-018-G3</t>
  </si>
  <si>
    <t xml:space="preserve">4 Substeps #3: "Block flexible padding assignments." + Poka-Yoke: "Custom local padding declarations are programmatically stripped by central package rules."</t>
  </si>
  <si>
    <t xml:space="preserve">HabotMasterScaffold constructor exposes NO padding, margin, width or alignment parameter -- a screen physically cannot pass spacing in</t>
  </si>
  <si>
    <t xml:space="preserve">RCGLA-018-G4</t>
  </si>
  <si>
    <t xml:space="preserve">Completion Measures: "Code scanning proves 100% of app instances use wrappers." + 4 Substeps #4: "Force tracks to implement central layouts."</t>
  </si>
  <si>
    <t xml:space="preserve">Every screen class discovered under lib/ references HabotMasterScaffold</t>
  </si>
  <si>
    <t xml:space="preserve">RCGLA-018-G5</t>
  </si>
  <si>
    <t xml:space="preserve">Poka-Yoke: "Custom local padding declarations are programmatically stripped by central package rules."</t>
  </si>
  <si>
    <t xml:space="preserve">No screen file declares its own Scaffold -- the master scaffold is the only one</t>
  </si>
  <si>
    <t xml:space="preserve">RCGLA-018-G6</t>
  </si>
  <si>
    <t xml:space="preserve">Atomic Reusability: "Layout systems operate as multi-tenant structural shells." + Data Collected: Audit Trail.</t>
  </si>
  <si>
    <t xml:space="preserve">Screens register into an inventory at build time and each sits inside exactly one HabotLayoutBoundary</t>
  </si>
  <si>
    <t xml:space="preserve">ANSA-012-G1</t>
  </si>
  <si>
    <t xml:space="preserve">4 Substeps #1: "Cap maximum string titles to protect horizontal grid boundaries."</t>
  </si>
  <si>
    <t xml:space="preserve">Title capping never exceeds the budget, preserves short titles untouched, and prefers a word boundary</t>
  </si>
  <si>
    <t xml:space="preserve">ANSA-012-G2</t>
  </si>
  <si>
    <t xml:space="preserve">4 Substeps #3: "Inject scroll-listening hooks to adjust header elevations dynamically." + UX Translation: "Top navigation bars transition from flat fills to high-elevation shadows as lower contents scroll."</t>
  </si>
  <si>
    <t xml:space="preserve">Header is flat at rest and lifts once content scrolls past the threshold</t>
  </si>
  <si>
    <t xml:space="preserve">ANSA-012-G3</t>
  </si>
  <si>
    <t xml:space="preserve">Poka-Yoke: "Intercept routes block rapid double-tapping on back controls, saving history queues from array corruption."</t>
  </si>
  <si>
    <t xml:space="preserve">A burst of back taps inside the debounce window yields exactly one pop</t>
  </si>
  <si>
    <t xml:space="preserve">ANSA-012-G4</t>
  </si>
  <si>
    <t xml:space="preserve">Mobile-First UX Decision: "Hide excessive, low-priority shortcut items inside unified trailing overflow menus on tight displays."</t>
  </si>
  <si>
    <t xml:space="preserve">Compact viewports expose fewer visible actions than wide ones, and the remainder overflow</t>
  </si>
  <si>
    <t xml:space="preserve">ANSA-012-G5</t>
  </si>
  <si>
    <t xml:space="preserve">Mobile-First UI Implementation: "Secure the top app container height to an unyielding 64dp profile line."</t>
  </si>
  <si>
    <t xml:space="preserve">preferredSize is exactly 64dp and comes from the token, not a literal</t>
  </si>
  <si>
    <t xml:space="preserve">ANSA-012-G6</t>
  </si>
  <si>
    <t xml:space="preserve">Mobile-First UI Decision: "Align textual header targets strictly to standard left grid baselines." + UI Implementation: 64dp.</t>
  </si>
  <si>
    <t xml:space="preserve">Rendered header is 64dp tall, caps its title and collapses surplus actions into a trailing overflow menu at 360dp</t>
  </si>
  <si>
    <t xml:space="preserve">ANSA-012-G7</t>
  </si>
  <si>
    <t xml:space="preserve">Expected Output measure: "100% of application pages render matching navigation rules with zero history stack leaks."</t>
  </si>
  <si>
    <t xml:space="preserve">Tapping back on the root route is a no-op: the stack is never unwound past the first screen</t>
  </si>
  <si>
    <t xml:space="preserve">TTMAC-011-G1</t>
  </si>
  <si>
    <t xml:space="preserve">4 Substeps #1: "Define absolute minimum touch-target boundaries (&gt;= 48 x 48 dp) for compact layout elements."</t>
  </si>
  <si>
    <t xml:space="preserve">The 48dp floor is defined once, and the compliance predicate rejects anything under it</t>
  </si>
  <si>
    <t xml:space="preserve">TTMAC-011-G2</t>
  </si>
  <si>
    <t xml:space="preserve">4 Substeps #3: "Configure button element grid bounds to preserve an 8 dp safety spacing margin."</t>
  </si>
  <si>
    <t xml:space="preserve">Safety margin is 8dp and the separation predicate rejects tighter gaps</t>
  </si>
  <si>
    <t xml:space="preserve">TTMAC-011-G3</t>
  </si>
  <si>
    <t xml:space="preserve">Poka-Yoke: "The compile engine throws a validation error if any touch target layout bounds map below 48 dp constraints."</t>
  </si>
  <si>
    <t xml:space="preserve">HabotTouchTarget carries a constructor assert that rejects a sub-48dp minSize before anything renders</t>
  </si>
  <si>
    <t xml:space="preserve">TTMAC-011-G4</t>
  </si>
  <si>
    <t xml:space="preserve">What Standardized Must Be Done: "Adherence to core interactive component parameters." + Completion Measures: 100% of interactive elements &gt;= 48dp.</t>
  </si>
  <si>
    <t xml:space="preserve">No file under lib/ builds a raw IconButton or GestureDetector outside the sanctioned interaction module</t>
  </si>
  <si>
    <t xml:space="preserve">TTMAC-011-G5</t>
  </si>
  <si>
    <t xml:space="preserve">Completion Measures: "100% of deployed interactive elements maintain physical tap boundaries &gt;= 48 x 48 dp."</t>
  </si>
  <si>
    <t xml:space="preserve">Every touch target rendered by the app at 320 / 393 / 1024dp measures at least 48dp on its shortest side</t>
  </si>
  <si>
    <t xml:space="preserve">TTMAC-011-G6</t>
  </si>
  <si>
    <t xml:space="preserve">4 Substeps #3: "preserve an 8 dp safety spacing margin."</t>
  </si>
  <si>
    <t xml:space="preserve">HabotTouchRow renders adjacent targets with a measured gap of at least 8dp</t>
  </si>
  <si>
    <t xml:space="preserve">TTMAC-011-G7</t>
  </si>
  <si>
    <t xml:space="preserve">4 Substeps #2: "Inject transparent target expansion boxes around micro-icons or selector ticks." + #4: "Map long-press interaction paths to reveal detailed tooltips."</t>
  </si>
  <si>
    <t xml:space="preserve">A 12dp icon renders at 12dp but is wrapped in a &gt;=48dp tap area, and long-press surfaces the detail tooltip</t>
  </si>
  <si>
    <t xml:space="preserve">Scheme</t>
  </si>
  <si>
    <t xml:space="preserve">Foreground Role</t>
  </si>
  <si>
    <t xml:space="preserve">Foreground Hex</t>
  </si>
  <si>
    <t xml:space="preserve">Background Role</t>
  </si>
  <si>
    <t xml:space="preserve">Background Hex</t>
  </si>
  <si>
    <t xml:space="preserve">Category</t>
  </si>
  <si>
    <t xml:space="preserve">Measured Ratio</t>
  </si>
  <si>
    <t xml:space="preserve">Floor Required</t>
  </si>
  <si>
    <t xml:space="preserve">WCAG Grade</t>
  </si>
  <si>
    <t xml:space="preserve">Result</t>
  </si>
  <si>
    <t xml:space="preserve">light</t>
  </si>
  <si>
    <t xml:space="preserve">onPrimary</t>
  </si>
  <si>
    <t xml:space="preserve">#FFFFFF</t>
  </si>
  <si>
    <t xml:space="preserve">primary</t>
  </si>
  <si>
    <t xml:space="preserve">#00538A</t>
  </si>
  <si>
    <t xml:space="preserve">Text</t>
  </si>
  <si>
    <t xml:space="preserve">AAA</t>
  </si>
  <si>
    <t xml:space="preserve">onPrimaryContainer</t>
  </si>
  <si>
    <t xml:space="preserve">#001D33</t>
  </si>
  <si>
    <t xml:space="preserve">primaryContainer</t>
  </si>
  <si>
    <t xml:space="preserve">#CDE5FF</t>
  </si>
  <si>
    <t xml:space="preserve">onSecondary</t>
  </si>
  <si>
    <t xml:space="preserve">secondary</t>
  </si>
  <si>
    <t xml:space="preserve">#00565B</t>
  </si>
  <si>
    <t xml:space="preserve">onSecondaryContainer</t>
  </si>
  <si>
    <t xml:space="preserve">#00201F</t>
  </si>
  <si>
    <t xml:space="preserve">secondaryContainer</t>
  </si>
  <si>
    <t xml:space="preserve">#B0ECF1</t>
  </si>
  <si>
    <t xml:space="preserve">onTertiary</t>
  </si>
  <si>
    <t xml:space="preserve">tertiary</t>
  </si>
  <si>
    <t xml:space="preserve">#5A4666</t>
  </si>
  <si>
    <t xml:space="preserve">onTertiaryContainer</t>
  </si>
  <si>
    <t xml:space="preserve">#231531</t>
  </si>
  <si>
    <t xml:space="preserve">tertiaryContainer</t>
  </si>
  <si>
    <t xml:space="preserve">#F0DBFF</t>
  </si>
  <si>
    <t xml:space="preserve">onError</t>
  </si>
  <si>
    <t xml:space="preserve">error</t>
  </si>
  <si>
    <t xml:space="preserve">#B3261E</t>
  </si>
  <si>
    <t xml:space="preserve">AA</t>
  </si>
  <si>
    <t xml:space="preserve">onErrorContainer</t>
  </si>
  <si>
    <t xml:space="preserve">#410E0B</t>
  </si>
  <si>
    <t xml:space="preserve">errorContainer</t>
  </si>
  <si>
    <t xml:space="preserve">#F9DEDC</t>
  </si>
  <si>
    <t xml:space="preserve">onSurface</t>
  </si>
  <si>
    <t xml:space="preserve">#1A1C1E</t>
  </si>
  <si>
    <t xml:space="preserve">surface</t>
  </si>
  <si>
    <t xml:space="preserve">#FAFCFF</t>
  </si>
  <si>
    <t xml:space="preserve">onSurfaceVariant</t>
  </si>
  <si>
    <t xml:space="preserve">#41474D</t>
  </si>
  <si>
    <t xml:space="preserve">surfaceContainerLowest</t>
  </si>
  <si>
    <t xml:space="preserve">surfaceContainerLow</t>
  </si>
  <si>
    <t xml:space="preserve">#F2F6FA</t>
  </si>
  <si>
    <t xml:space="preserve">surfaceContainer</t>
  </si>
  <si>
    <t xml:space="preserve">#ECF0F5</t>
  </si>
  <si>
    <t xml:space="preserve">surfaceContainerHigh</t>
  </si>
  <si>
    <t xml:space="preserve">#E6EAEF</t>
  </si>
  <si>
    <t xml:space="preserve">surfaceContainerHighest</t>
  </si>
  <si>
    <t xml:space="preserve">#E0E4EA</t>
  </si>
  <si>
    <t xml:space="preserve">onInverseSurface</t>
  </si>
  <si>
    <t xml:space="preserve">#F0F1F4</t>
  </si>
  <si>
    <t xml:space="preserve">inverseSurface</t>
  </si>
  <si>
    <t xml:space="preserve">#2E3133</t>
  </si>
  <si>
    <t xml:space="preserve">outline</t>
  </si>
  <si>
    <t xml:space="preserve">#71787E</t>
  </si>
  <si>
    <t xml:space="preserve">Non-text (SC 1.4.11)</t>
  </si>
  <si>
    <t xml:space="preserve">dark</t>
  </si>
  <si>
    <t xml:space="preserve">#003353</t>
  </si>
  <si>
    <t xml:space="preserve">#9BCBFF</t>
  </si>
  <si>
    <t xml:space="preserve">#004A76</t>
  </si>
  <si>
    <t xml:space="preserve">#00363A</t>
  </si>
  <si>
    <t xml:space="preserve">#8ED0D5</t>
  </si>
  <si>
    <t xml:space="preserve">#004F53</t>
  </si>
  <si>
    <t xml:space="preserve">#3B2948</t>
  </si>
  <si>
    <t xml:space="preserve">#D6BEE4</t>
  </si>
  <si>
    <t xml:space="preserve">#523F5F</t>
  </si>
  <si>
    <t xml:space="preserve">#690005</t>
  </si>
  <si>
    <t xml:space="preserve">#FFB4AB</t>
  </si>
  <si>
    <t xml:space="preserve">#FFDAD6</t>
  </si>
  <si>
    <t xml:space="preserve">#93000A</t>
  </si>
  <si>
    <t xml:space="preserve">#E2E2E6</t>
  </si>
  <si>
    <t xml:space="preserve">#101416</t>
  </si>
  <si>
    <t xml:space="preserve">#C1C7CE</t>
  </si>
  <si>
    <t xml:space="preserve">#171D22</t>
  </si>
  <si>
    <t xml:space="preserve">#1B2329</t>
  </si>
  <si>
    <t xml:space="preserve">#1F2830</t>
  </si>
  <si>
    <t xml:space="preserve">#212A32</t>
  </si>
  <si>
    <t xml:space="preserve">#8B9198</t>
  </si>
  <si>
    <t xml:space="preserve">elevation.level0</t>
  </si>
  <si>
    <t xml:space="preserve">Text (elevation ladder)</t>
  </si>
  <si>
    <t xml:space="preserve">elevation.level1</t>
  </si>
  <si>
    <t xml:space="preserve">elevation.level2</t>
  </si>
  <si>
    <t xml:space="preserve">elevation.level3</t>
  </si>
  <si>
    <t xml:space="preserve">elevation.level4</t>
  </si>
  <si>
    <t xml:space="preserve">elevation.level5</t>
  </si>
  <si>
    <t xml:space="preserve">#232E37</t>
  </si>
  <si>
    <t xml:space="preserve">WORST</t>
  </si>
  <si>
    <t xml:space="preserve"> </t>
  </si>
  <si>
    <t xml:space="preserve">EXEMPT</t>
  </si>
  <si>
    <t xml:space="preserve">outlineVariant</t>
  </si>
  <si>
    <t xml:space="preserve">Decorative divider - WCAG 2.1 SC 1.4.11 covers graphical objects required to understand content; the meaning-bearing boundary token is "outline", gated at 3.0:1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</si>
</sst>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5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2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3"/>
      <c r="B9" s="2"/>
    </row>
    <row r="10" customFormat="false" ht="15" hidden="false" customHeight="false" outlineLevel="0" collapsed="false">
      <c r="A10" s="3" t="s">
        <v>13</v>
      </c>
      <c r="B10" s="2" t="s">
        <v>14</v>
      </c>
    </row>
    <row r="11" customFormat="false" ht="15" hidden="false" customHeight="false" outlineLevel="0" collapsed="false">
      <c r="A11" s="3"/>
      <c r="B11" s="2" t="s">
        <v>15</v>
      </c>
    </row>
    <row r="12" customFormat="false" ht="15" hidden="false" customHeight="false" outlineLevel="0" collapsed="false">
      <c r="A12" s="3"/>
      <c r="B12" s="2"/>
    </row>
    <row r="13" customFormat="false" ht="15" hidden="false" customHeight="false" outlineLevel="0" collapsed="false">
      <c r="A13" s="3" t="s">
        <v>16</v>
      </c>
      <c r="B13" s="2" t="s">
        <v>17</v>
      </c>
    </row>
    <row r="14" customFormat="false" ht="15" hidden="false" customHeight="false" outlineLevel="0" collapsed="false">
      <c r="A14" s="3"/>
      <c r="B14" s="2" t="s">
        <v>18</v>
      </c>
    </row>
    <row r="15" customFormat="false" ht="15" hidden="false" customHeight="false" outlineLevel="0" collapsed="false">
      <c r="A15" s="3"/>
      <c r="B15" s="2" t="s">
        <v>19</v>
      </c>
    </row>
    <row r="16" customFormat="false" ht="15" hidden="false" customHeight="false" outlineLevel="0" collapsed="false">
      <c r="A16" s="3"/>
      <c r="B16" s="2"/>
    </row>
    <row r="17" customFormat="false" ht="15" hidden="false" customHeight="false" outlineLevel="0" collapsed="false">
      <c r="A17" s="3" t="s">
        <v>20</v>
      </c>
      <c r="B17" s="2" t="s">
        <v>21</v>
      </c>
    </row>
    <row r="18" customFormat="false" ht="15" hidden="false" customHeight="false" outlineLevel="0" collapsed="false">
      <c r="A18" s="3"/>
      <c r="B18" s="2" t="s">
        <v>22</v>
      </c>
    </row>
    <row r="19" customFormat="false" ht="15" hidden="false" customHeight="false" outlineLevel="0" collapsed="false">
      <c r="A19" s="3"/>
      <c r="B19" s="2" t="s">
        <v>23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3" t="s">
        <v>24</v>
      </c>
      <c r="B21" s="2" t="s">
        <v>25</v>
      </c>
    </row>
    <row r="22" customFormat="false" ht="15" hidden="false" customHeight="false" outlineLevel="0" collapsed="false">
      <c r="A22" s="3"/>
      <c r="B22" s="2" t="s">
        <v>26</v>
      </c>
    </row>
    <row r="23" customFormat="false" ht="15" hidden="false" customHeight="false" outlineLevel="0" collapsed="false">
      <c r="A23" s="3"/>
      <c r="B23" s="2" t="s">
        <v>27</v>
      </c>
    </row>
    <row r="24" customFormat="false" ht="15" hidden="false" customHeight="false" outlineLevel="0" collapsed="false">
      <c r="A24" s="3"/>
      <c r="B24" s="2" t="s">
        <v>28</v>
      </c>
    </row>
    <row r="25" customFormat="false" ht="15" hidden="false" customHeight="false" outlineLevel="0" collapsed="false">
      <c r="A25" s="3"/>
      <c r="B25" s="2" t="s">
        <v>29</v>
      </c>
    </row>
    <row r="26" customFormat="false" ht="15" hidden="false" customHeight="false" outlineLevel="0" collapsed="false">
      <c r="A26" s="3"/>
      <c r="B26" s="2"/>
    </row>
    <row r="27" customFormat="false" ht="15" hidden="false" customHeight="false" outlineLevel="0" collapsed="false">
      <c r="A27" s="3" t="s">
        <v>30</v>
      </c>
      <c r="B27" s="2" t="s">
        <v>31</v>
      </c>
    </row>
    <row r="28" customFormat="false" ht="15" hidden="false" customHeight="false" outlineLevel="0" collapsed="false">
      <c r="A28" s="3"/>
      <c r="B28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6"/>
    <col collapsed="false" customWidth="true" hidden="false" outlineLevel="0" max="5" min="5" style="0" width="38"/>
    <col collapsed="false" customWidth="true" hidden="false" outlineLevel="0" max="6" min="6" style="0" width="30"/>
    <col collapsed="false" customWidth="true" hidden="false" outlineLevel="0" max="8" min="7" style="0" width="38"/>
    <col collapsed="false" customWidth="true" hidden="false" outlineLevel="0" max="9" min="9" style="0" width="46"/>
    <col collapsed="false" customWidth="true" hidden="false" outlineLevel="0" max="12" min="10" style="0" width="13"/>
    <col collapsed="false" customWidth="true" hidden="false" outlineLevel="0" max="13" min="13" style="0" width="22"/>
    <col collapsed="false" customWidth="true" hidden="false" outlineLevel="0" max="14" min="14" style="0" width="28"/>
  </cols>
  <sheetData>
    <row r="1" customFormat="false" ht="42" hidden="false" customHeight="tru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  <c r="J1" s="4" t="s">
        <v>42</v>
      </c>
      <c r="K1" s="4" t="s">
        <v>43</v>
      </c>
      <c r="L1" s="4" t="s">
        <v>44</v>
      </c>
      <c r="M1" s="4" t="s">
        <v>45</v>
      </c>
      <c r="N1" s="4" t="s">
        <v>46</v>
      </c>
    </row>
    <row r="2" customFormat="false" ht="63.75" hidden="false" customHeight="true" outlineLevel="0" collapsed="false">
      <c r="A2" s="5" t="n">
        <v>1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53</v>
      </c>
      <c r="I2" s="5" t="s">
        <v>54</v>
      </c>
      <c r="J2" s="5" t="n">
        <f aca="false">COUNTIF('Gate Register'!$D:$D,$C2)</f>
        <v>7</v>
      </c>
      <c r="K2" s="5" t="n">
        <f aca="false">COUNTIFS('Gate Register'!$D:$D,$C2,'Gate Register'!$I:$I,"DEFERRED")</f>
        <v>0</v>
      </c>
      <c r="L2" s="5" t="n">
        <f aca="false">COUNTIFS('Gate Register'!$D:$D,$C2,'Gate Register'!$K:$K,"Pass")</f>
        <v>0</v>
      </c>
      <c r="M2" s="5" t="str">
        <f aca="false">IF($J2=0,"Not Complete",IF($L2=$J2,"Complete",IF($L2=0,"Not Complete","Partial")))</f>
        <v>Not Complete</v>
      </c>
      <c r="N2" s="5" t="s">
        <v>55</v>
      </c>
    </row>
    <row r="3" customFormat="false" ht="63.75" hidden="false" customHeight="true" outlineLevel="0" collapsed="false">
      <c r="A3" s="6" t="n">
        <v>2</v>
      </c>
      <c r="B3" s="6" t="s">
        <v>56</v>
      </c>
      <c r="C3" s="6" t="s">
        <v>57</v>
      </c>
      <c r="D3" s="6" t="s">
        <v>58</v>
      </c>
      <c r="E3" s="6" t="s">
        <v>59</v>
      </c>
      <c r="F3" s="6" t="s">
        <v>60</v>
      </c>
      <c r="G3" s="6" t="s">
        <v>61</v>
      </c>
      <c r="H3" s="6" t="s">
        <v>62</v>
      </c>
      <c r="I3" s="6" t="s">
        <v>63</v>
      </c>
      <c r="J3" s="6" t="n">
        <f aca="false">COUNTIF('Gate Register'!$D:$D,$C3)</f>
        <v>6</v>
      </c>
      <c r="K3" s="6" t="n">
        <f aca="false">COUNTIFS('Gate Register'!$D:$D,$C3,'Gate Register'!$I:$I,"DEFERRED")</f>
        <v>0</v>
      </c>
      <c r="L3" s="6" t="n">
        <f aca="false">COUNTIFS('Gate Register'!$D:$D,$C3,'Gate Register'!$K:$K,"Pass")</f>
        <v>0</v>
      </c>
      <c r="M3" s="6" t="str">
        <f aca="false">IF($J3=0,"Not Complete",IF($L3=$J3,"Complete",IF($L3=0,"Not Complete","Partial")))</f>
        <v>Not Complete</v>
      </c>
      <c r="N3" s="6" t="s">
        <v>55</v>
      </c>
    </row>
    <row r="4" customFormat="false" ht="63.75" hidden="false" customHeight="true" outlineLevel="0" collapsed="false">
      <c r="A4" s="5" t="n">
        <v>3</v>
      </c>
      <c r="B4" s="5" t="s">
        <v>64</v>
      </c>
      <c r="C4" s="5" t="s">
        <v>65</v>
      </c>
      <c r="D4" s="5" t="s">
        <v>66</v>
      </c>
      <c r="E4" s="5" t="s">
        <v>67</v>
      </c>
      <c r="F4" s="5" t="s">
        <v>68</v>
      </c>
      <c r="G4" s="5" t="s">
        <v>69</v>
      </c>
      <c r="H4" s="5" t="s">
        <v>70</v>
      </c>
      <c r="I4" s="5" t="s">
        <v>71</v>
      </c>
      <c r="J4" s="5" t="n">
        <f aca="false">COUNTIF('Gate Register'!$D:$D,$C4)</f>
        <v>9</v>
      </c>
      <c r="K4" s="5" t="n">
        <f aca="false">COUNTIFS('Gate Register'!$D:$D,$C4,'Gate Register'!$I:$I,"DEFERRED")</f>
        <v>0</v>
      </c>
      <c r="L4" s="5" t="n">
        <f aca="false">COUNTIFS('Gate Register'!$D:$D,$C4,'Gate Register'!$K:$K,"Pass")</f>
        <v>0</v>
      </c>
      <c r="M4" s="5" t="str">
        <f aca="false">IF($J4=0,"Not Complete",IF($L4=$J4,"Complete",IF($L4=0,"Not Complete","Partial")))</f>
        <v>Not Complete</v>
      </c>
      <c r="N4" s="5" t="s">
        <v>72</v>
      </c>
    </row>
    <row r="5" customFormat="false" ht="63.75" hidden="false" customHeight="true" outlineLevel="0" collapsed="false">
      <c r="A5" s="6" t="n">
        <v>4</v>
      </c>
      <c r="B5" s="6" t="s">
        <v>73</v>
      </c>
      <c r="C5" s="6" t="s">
        <v>74</v>
      </c>
      <c r="D5" s="6" t="s">
        <v>75</v>
      </c>
      <c r="E5" s="6" t="s">
        <v>76</v>
      </c>
      <c r="F5" s="6" t="s">
        <v>77</v>
      </c>
      <c r="G5" s="6" t="s">
        <v>78</v>
      </c>
      <c r="H5" s="6" t="s">
        <v>79</v>
      </c>
      <c r="I5" s="6" t="s">
        <v>80</v>
      </c>
      <c r="J5" s="6" t="n">
        <f aca="false">COUNTIF('Gate Register'!$D:$D,$C5)</f>
        <v>8</v>
      </c>
      <c r="K5" s="6" t="n">
        <f aca="false">COUNTIFS('Gate Register'!$D:$D,$C5,'Gate Register'!$I:$I,"DEFERRED")</f>
        <v>0</v>
      </c>
      <c r="L5" s="6" t="n">
        <f aca="false">COUNTIFS('Gate Register'!$D:$D,$C5,'Gate Register'!$K:$K,"Pass")</f>
        <v>0</v>
      </c>
      <c r="M5" s="6" t="str">
        <f aca="false">IF($J5=0,"Not Complete",IF($L5=$J5,"Complete",IF($L5=0,"Not Complete","Partial")))</f>
        <v>Not Complete</v>
      </c>
      <c r="N5" s="6" t="s">
        <v>81</v>
      </c>
    </row>
    <row r="6" customFormat="false" ht="63.75" hidden="false" customHeight="true" outlineLevel="0" collapsed="false">
      <c r="A6" s="5" t="n">
        <v>5</v>
      </c>
      <c r="B6" s="5" t="s">
        <v>82</v>
      </c>
      <c r="C6" s="5" t="s">
        <v>83</v>
      </c>
      <c r="D6" s="5" t="s">
        <v>84</v>
      </c>
      <c r="E6" s="5" t="s">
        <v>85</v>
      </c>
      <c r="F6" s="5" t="s">
        <v>86</v>
      </c>
      <c r="G6" s="5" t="s">
        <v>87</v>
      </c>
      <c r="H6" s="5" t="s">
        <v>88</v>
      </c>
      <c r="I6" s="5" t="s">
        <v>89</v>
      </c>
      <c r="J6" s="5" t="n">
        <f aca="false">COUNTIF('Gate Register'!$D:$D,$C6)</f>
        <v>8</v>
      </c>
      <c r="K6" s="5" t="n">
        <f aca="false">COUNTIFS('Gate Register'!$D:$D,$C6,'Gate Register'!$I:$I,"DEFERRED")</f>
        <v>0</v>
      </c>
      <c r="L6" s="5" t="n">
        <f aca="false">COUNTIFS('Gate Register'!$D:$D,$C6,'Gate Register'!$K:$K,"Pass")</f>
        <v>0</v>
      </c>
      <c r="M6" s="5" t="str">
        <f aca="false">IF($J6=0,"Not Complete",IF($L6=$J6,"Complete",IF($L6=0,"Not Complete","Partial")))</f>
        <v>Not Complete</v>
      </c>
      <c r="N6" s="5" t="s">
        <v>72</v>
      </c>
    </row>
    <row r="7" customFormat="false" ht="63.75" hidden="false" customHeight="true" outlineLevel="0" collapsed="false">
      <c r="A7" s="6" t="n">
        <v>6</v>
      </c>
      <c r="B7" s="6" t="s">
        <v>90</v>
      </c>
      <c r="C7" s="6" t="s">
        <v>91</v>
      </c>
      <c r="D7" s="6" t="s">
        <v>92</v>
      </c>
      <c r="E7" s="6" t="s">
        <v>93</v>
      </c>
      <c r="F7" s="6" t="s">
        <v>94</v>
      </c>
      <c r="G7" s="6" t="s">
        <v>95</v>
      </c>
      <c r="H7" s="6" t="s">
        <v>96</v>
      </c>
      <c r="I7" s="6" t="s">
        <v>97</v>
      </c>
      <c r="J7" s="6" t="n">
        <f aca="false">COUNTIF('Gate Register'!$D:$D,$C7)</f>
        <v>7</v>
      </c>
      <c r="K7" s="6" t="n">
        <f aca="false">COUNTIFS('Gate Register'!$D:$D,$C7,'Gate Register'!$I:$I,"DEFERRED")</f>
        <v>2</v>
      </c>
      <c r="L7" s="6" t="n">
        <f aca="false">COUNTIFS('Gate Register'!$D:$D,$C7,'Gate Register'!$K:$K,"Pass")</f>
        <v>0</v>
      </c>
      <c r="M7" s="6" t="str">
        <f aca="false">IF($J7=0,"Not Complete",IF($L7=$J7,"Complete",IF($L7=0,"Not Complete","Partial")))</f>
        <v>Not Complete</v>
      </c>
      <c r="N7" s="6" t="s">
        <v>81</v>
      </c>
    </row>
    <row r="8" customFormat="false" ht="63.75" hidden="false" customHeight="true" outlineLevel="0" collapsed="false">
      <c r="A8" s="5" t="n">
        <v>7</v>
      </c>
      <c r="B8" s="5" t="s">
        <v>98</v>
      </c>
      <c r="C8" s="5" t="s">
        <v>99</v>
      </c>
      <c r="D8" s="5" t="s">
        <v>100</v>
      </c>
      <c r="E8" s="5" t="s">
        <v>101</v>
      </c>
      <c r="F8" s="5" t="s">
        <v>102</v>
      </c>
      <c r="G8" s="5" t="s">
        <v>103</v>
      </c>
      <c r="H8" s="5" t="s">
        <v>104</v>
      </c>
      <c r="I8" s="5" t="s">
        <v>105</v>
      </c>
      <c r="J8" s="5" t="n">
        <f aca="false">COUNTIF('Gate Register'!$D:$D,$C8)</f>
        <v>7</v>
      </c>
      <c r="K8" s="5" t="n">
        <f aca="false">COUNTIFS('Gate Register'!$D:$D,$C8,'Gate Register'!$I:$I,"DEFERRED")</f>
        <v>0</v>
      </c>
      <c r="L8" s="5" t="n">
        <f aca="false">COUNTIFS('Gate Register'!$D:$D,$C8,'Gate Register'!$K:$K,"Pass")</f>
        <v>0</v>
      </c>
      <c r="M8" s="5" t="str">
        <f aca="false">IF($J8=0,"Not Complete",IF($L8=$J8,"Complete",IF($L8=0,"Not Complete","Partial")))</f>
        <v>Not Complete</v>
      </c>
      <c r="N8" s="5" t="s">
        <v>81</v>
      </c>
    </row>
    <row r="9" customFormat="false" ht="63.75" hidden="false" customHeight="true" outlineLevel="0" collapsed="false">
      <c r="A9" s="6" t="n">
        <v>8</v>
      </c>
      <c r="B9" s="6" t="s">
        <v>106</v>
      </c>
      <c r="C9" s="6" t="s">
        <v>107</v>
      </c>
      <c r="D9" s="6" t="s">
        <v>108</v>
      </c>
      <c r="E9" s="6" t="s">
        <v>59</v>
      </c>
      <c r="F9" s="6" t="s">
        <v>60</v>
      </c>
      <c r="G9" s="6" t="s">
        <v>109</v>
      </c>
      <c r="H9" s="6" t="s">
        <v>62</v>
      </c>
      <c r="I9" s="6" t="s">
        <v>110</v>
      </c>
      <c r="J9" s="6" t="n">
        <f aca="false">COUNTIF('Gate Register'!$D:$D,$C9)</f>
        <v>6</v>
      </c>
      <c r="K9" s="6" t="n">
        <f aca="false">COUNTIFS('Gate Register'!$D:$D,$C9,'Gate Register'!$I:$I,"DEFERRED")</f>
        <v>0</v>
      </c>
      <c r="L9" s="6" t="n">
        <f aca="false">COUNTIFS('Gate Register'!$D:$D,$C9,'Gate Register'!$K:$K,"Pass")</f>
        <v>0</v>
      </c>
      <c r="M9" s="6" t="str">
        <f aca="false">IF($J9=0,"Not Complete",IF($L9=$J9,"Complete",IF($L9=0,"Not Complete","Partial")))</f>
        <v>Not Complete</v>
      </c>
      <c r="N9" s="6" t="s">
        <v>111</v>
      </c>
    </row>
    <row r="10" customFormat="false" ht="63.75" hidden="false" customHeight="true" outlineLevel="0" collapsed="false">
      <c r="A10" s="5" t="n">
        <v>9</v>
      </c>
      <c r="B10" s="5" t="s">
        <v>112</v>
      </c>
      <c r="C10" s="5" t="s">
        <v>113</v>
      </c>
      <c r="D10" s="5" t="s">
        <v>114</v>
      </c>
      <c r="E10" s="5" t="s">
        <v>115</v>
      </c>
      <c r="F10" s="5" t="s">
        <v>116</v>
      </c>
      <c r="G10" s="5" t="s">
        <v>117</v>
      </c>
      <c r="H10" s="5" t="s">
        <v>118</v>
      </c>
      <c r="I10" s="5" t="s">
        <v>119</v>
      </c>
      <c r="J10" s="5" t="n">
        <f aca="false">COUNTIF('Gate Register'!$D:$D,$C10)</f>
        <v>7</v>
      </c>
      <c r="K10" s="5" t="n">
        <f aca="false">COUNTIFS('Gate Register'!$D:$D,$C10,'Gate Register'!$I:$I,"DEFERRED")</f>
        <v>0</v>
      </c>
      <c r="L10" s="5" t="n">
        <f aca="false">COUNTIFS('Gate Register'!$D:$D,$C10,'Gate Register'!$K:$K,"Pass")</f>
        <v>0</v>
      </c>
      <c r="M10" s="5" t="str">
        <f aca="false">IF($J10=0,"Not Complete",IF($L10=$J10,"Complete",IF($L10=0,"Not Complete","Partial")))</f>
        <v>Not Complete</v>
      </c>
      <c r="N10" s="5" t="s">
        <v>55</v>
      </c>
    </row>
    <row r="11" customFormat="false" ht="63.75" hidden="false" customHeight="true" outlineLevel="0" collapsed="false">
      <c r="A11" s="6" t="n">
        <v>10</v>
      </c>
      <c r="B11" s="6" t="s">
        <v>120</v>
      </c>
      <c r="C11" s="6" t="s">
        <v>121</v>
      </c>
      <c r="D11" s="6" t="s">
        <v>122</v>
      </c>
      <c r="E11" s="6" t="s">
        <v>115</v>
      </c>
      <c r="F11" s="6" t="s">
        <v>116</v>
      </c>
      <c r="G11" s="6" t="s">
        <v>117</v>
      </c>
      <c r="H11" s="6" t="s">
        <v>118</v>
      </c>
      <c r="I11" s="6" t="s">
        <v>123</v>
      </c>
      <c r="J11" s="6" t="n">
        <f aca="false">COUNTIF('Gate Register'!$D:$D,$C11)</f>
        <v>7</v>
      </c>
      <c r="K11" s="6" t="n">
        <f aca="false">COUNTIFS('Gate Register'!$D:$D,$C11,'Gate Register'!$I:$I,"DEFERRED")</f>
        <v>0</v>
      </c>
      <c r="L11" s="6" t="n">
        <f aca="false">COUNTIFS('Gate Register'!$D:$D,$C11,'Gate Register'!$K:$K,"Pass")</f>
        <v>0</v>
      </c>
      <c r="M11" s="6" t="str">
        <f aca="false">IF($J11=0,"Not Complete",IF($L11=$J11,"Complete",IF($L11=0,"Not Complete","Partial")))</f>
        <v>Not Complete</v>
      </c>
      <c r="N11" s="6" t="s">
        <v>55</v>
      </c>
    </row>
    <row r="12" customFormat="false" ht="63.75" hidden="false" customHeight="true" outlineLevel="0" collapsed="false">
      <c r="A12" s="5"/>
      <c r="B12" s="5"/>
      <c r="C12" s="5" t="s">
        <v>124</v>
      </c>
      <c r="D12" s="5"/>
      <c r="E12" s="5"/>
      <c r="F12" s="5"/>
      <c r="G12" s="5"/>
      <c r="H12" s="5"/>
      <c r="I12" s="5"/>
      <c r="J12" s="5" t="n">
        <f aca="false">SUM(J2:J11)</f>
        <v>72</v>
      </c>
      <c r="K12" s="5" t="n">
        <f aca="false">SUM(K2:K11)</f>
        <v>2</v>
      </c>
      <c r="L12" s="5" t="n">
        <f aca="false">SUM(L2:L11)</f>
        <v>0</v>
      </c>
      <c r="M12" s="5" t="str">
        <f aca="false">IF(L12=J12,"ALL COMPLETE","INCOMPLETE")</f>
        <v>INCOMPLETE</v>
      </c>
      <c r="N12" s="5"/>
    </row>
  </sheetData>
  <autoFilter ref="A1:N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70"/>
    <col collapsed="false" customWidth="true" hidden="false" outlineLevel="0" max="7" min="7" style="0" width="56"/>
    <col collapsed="false" customWidth="true" hidden="false" outlineLevel="0" max="8" min="8" style="0" width="17"/>
    <col collapsed="false" customWidth="true" hidden="false" outlineLevel="0" max="9" min="9" style="0" width="11"/>
    <col collapsed="false" customWidth="true" hidden="false" outlineLevel="0" max="10" min="10" style="0" width="22"/>
    <col collapsed="false" customWidth="true" hidden="false" outlineLevel="0" max="11" min="11" style="0" width="20"/>
  </cols>
  <sheetData>
    <row r="1" customFormat="false" ht="42" hidden="false" customHeight="true" outlineLevel="0" collapsed="false">
      <c r="A1" s="4" t="s">
        <v>125</v>
      </c>
      <c r="B1" s="4" t="s">
        <v>33</v>
      </c>
      <c r="C1" s="4" t="s">
        <v>34</v>
      </c>
      <c r="D1" s="4" t="s">
        <v>35</v>
      </c>
      <c r="E1" s="4" t="s">
        <v>126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4" t="s">
        <v>132</v>
      </c>
    </row>
    <row r="2" customFormat="false" ht="57.75" hidden="false" customHeight="true" outlineLevel="0" collapsed="false">
      <c r="A2" s="5" t="n">
        <v>1</v>
      </c>
      <c r="B2" s="5" t="n">
        <v>1</v>
      </c>
      <c r="C2" s="5" t="s">
        <v>47</v>
      </c>
      <c r="D2" s="5" t="s">
        <v>48</v>
      </c>
      <c r="E2" s="5" t="s">
        <v>133</v>
      </c>
      <c r="F2" s="5" t="s">
        <v>134</v>
      </c>
      <c r="G2" s="5" t="s">
        <v>135</v>
      </c>
      <c r="H2" s="5" t="s">
        <v>136</v>
      </c>
      <c r="I2" s="5" t="s">
        <v>137</v>
      </c>
      <c r="J2" s="5" t="s">
        <v>138</v>
      </c>
      <c r="K2" s="7"/>
    </row>
    <row r="3" customFormat="false" ht="57.75" hidden="false" customHeight="true" outlineLevel="0" collapsed="false">
      <c r="A3" s="6" t="n">
        <v>2</v>
      </c>
      <c r="B3" s="6" t="n">
        <v>1</v>
      </c>
      <c r="C3" s="6" t="s">
        <v>47</v>
      </c>
      <c r="D3" s="6" t="s">
        <v>48</v>
      </c>
      <c r="E3" s="6" t="s">
        <v>139</v>
      </c>
      <c r="F3" s="6" t="s">
        <v>140</v>
      </c>
      <c r="G3" s="6" t="s">
        <v>141</v>
      </c>
      <c r="H3" s="6" t="s">
        <v>136</v>
      </c>
      <c r="I3" s="6" t="s">
        <v>137</v>
      </c>
      <c r="J3" s="6" t="s">
        <v>138</v>
      </c>
      <c r="K3" s="7"/>
    </row>
    <row r="4" customFormat="false" ht="57.75" hidden="false" customHeight="true" outlineLevel="0" collapsed="false">
      <c r="A4" s="5" t="n">
        <v>3</v>
      </c>
      <c r="B4" s="5" t="n">
        <v>1</v>
      </c>
      <c r="C4" s="5" t="s">
        <v>47</v>
      </c>
      <c r="D4" s="5" t="s">
        <v>48</v>
      </c>
      <c r="E4" s="5" t="s">
        <v>142</v>
      </c>
      <c r="F4" s="5" t="s">
        <v>143</v>
      </c>
      <c r="G4" s="5" t="s">
        <v>144</v>
      </c>
      <c r="H4" s="5" t="s">
        <v>136</v>
      </c>
      <c r="I4" s="5" t="s">
        <v>137</v>
      </c>
      <c r="J4" s="5" t="s">
        <v>138</v>
      </c>
      <c r="K4" s="7"/>
    </row>
    <row r="5" customFormat="false" ht="57.75" hidden="false" customHeight="true" outlineLevel="0" collapsed="false">
      <c r="A5" s="6" t="n">
        <v>4</v>
      </c>
      <c r="B5" s="6" t="n">
        <v>1</v>
      </c>
      <c r="C5" s="6" t="s">
        <v>47</v>
      </c>
      <c r="D5" s="6" t="s">
        <v>48</v>
      </c>
      <c r="E5" s="6" t="s">
        <v>145</v>
      </c>
      <c r="F5" s="6" t="s">
        <v>146</v>
      </c>
      <c r="G5" s="6" t="s">
        <v>147</v>
      </c>
      <c r="H5" s="6" t="s">
        <v>136</v>
      </c>
      <c r="I5" s="6" t="s">
        <v>137</v>
      </c>
      <c r="J5" s="6" t="s">
        <v>138</v>
      </c>
      <c r="K5" s="7"/>
    </row>
    <row r="6" customFormat="false" ht="57.75" hidden="false" customHeight="true" outlineLevel="0" collapsed="false">
      <c r="A6" s="5" t="n">
        <v>5</v>
      </c>
      <c r="B6" s="5" t="n">
        <v>1</v>
      </c>
      <c r="C6" s="5" t="s">
        <v>47</v>
      </c>
      <c r="D6" s="5" t="s">
        <v>48</v>
      </c>
      <c r="E6" s="5" t="s">
        <v>148</v>
      </c>
      <c r="F6" s="5" t="s">
        <v>149</v>
      </c>
      <c r="G6" s="5" t="s">
        <v>150</v>
      </c>
      <c r="H6" s="5" t="s">
        <v>136</v>
      </c>
      <c r="I6" s="5" t="s">
        <v>137</v>
      </c>
      <c r="J6" s="5" t="s">
        <v>138</v>
      </c>
      <c r="K6" s="7"/>
    </row>
    <row r="7" customFormat="false" ht="57.75" hidden="false" customHeight="true" outlineLevel="0" collapsed="false">
      <c r="A7" s="6" t="n">
        <v>6</v>
      </c>
      <c r="B7" s="6" t="n">
        <v>1</v>
      </c>
      <c r="C7" s="6" t="s">
        <v>47</v>
      </c>
      <c r="D7" s="6" t="s">
        <v>48</v>
      </c>
      <c r="E7" s="6" t="s">
        <v>151</v>
      </c>
      <c r="F7" s="6" t="s">
        <v>152</v>
      </c>
      <c r="G7" s="6" t="s">
        <v>153</v>
      </c>
      <c r="H7" s="6" t="s">
        <v>136</v>
      </c>
      <c r="I7" s="6" t="s">
        <v>137</v>
      </c>
      <c r="J7" s="6" t="s">
        <v>154</v>
      </c>
      <c r="K7" s="7"/>
    </row>
    <row r="8" customFormat="false" ht="57.75" hidden="false" customHeight="true" outlineLevel="0" collapsed="false">
      <c r="A8" s="5" t="n">
        <v>7</v>
      </c>
      <c r="B8" s="5" t="n">
        <v>1</v>
      </c>
      <c r="C8" s="5" t="s">
        <v>47</v>
      </c>
      <c r="D8" s="5" t="s">
        <v>48</v>
      </c>
      <c r="E8" s="5" t="s">
        <v>155</v>
      </c>
      <c r="F8" s="5" t="s">
        <v>156</v>
      </c>
      <c r="G8" s="5" t="s">
        <v>157</v>
      </c>
      <c r="H8" s="5" t="s">
        <v>158</v>
      </c>
      <c r="I8" s="5" t="s">
        <v>137</v>
      </c>
      <c r="J8" s="5" t="s">
        <v>138</v>
      </c>
      <c r="K8" s="7"/>
    </row>
    <row r="9" customFormat="false" ht="57.75" hidden="false" customHeight="true" outlineLevel="0" collapsed="false">
      <c r="A9" s="6" t="n">
        <v>8</v>
      </c>
      <c r="B9" s="6" t="n">
        <v>2</v>
      </c>
      <c r="C9" s="6" t="s">
        <v>56</v>
      </c>
      <c r="D9" s="6" t="s">
        <v>57</v>
      </c>
      <c r="E9" s="6" t="s">
        <v>159</v>
      </c>
      <c r="F9" s="6" t="s">
        <v>160</v>
      </c>
      <c r="G9" s="6" t="s">
        <v>161</v>
      </c>
      <c r="H9" s="6" t="s">
        <v>136</v>
      </c>
      <c r="I9" s="6" t="s">
        <v>137</v>
      </c>
      <c r="J9" s="6" t="s">
        <v>154</v>
      </c>
      <c r="K9" s="7"/>
    </row>
    <row r="10" customFormat="false" ht="57.75" hidden="false" customHeight="true" outlineLevel="0" collapsed="false">
      <c r="A10" s="5" t="n">
        <v>9</v>
      </c>
      <c r="B10" s="5" t="n">
        <v>2</v>
      </c>
      <c r="C10" s="5" t="s">
        <v>56</v>
      </c>
      <c r="D10" s="5" t="s">
        <v>57</v>
      </c>
      <c r="E10" s="5" t="s">
        <v>162</v>
      </c>
      <c r="F10" s="5" t="s">
        <v>163</v>
      </c>
      <c r="G10" s="5" t="s">
        <v>164</v>
      </c>
      <c r="H10" s="5" t="s">
        <v>165</v>
      </c>
      <c r="I10" s="5" t="s">
        <v>137</v>
      </c>
      <c r="J10" s="5" t="s">
        <v>154</v>
      </c>
      <c r="K10" s="7"/>
    </row>
    <row r="11" customFormat="false" ht="57.75" hidden="false" customHeight="true" outlineLevel="0" collapsed="false">
      <c r="A11" s="6" t="n">
        <v>10</v>
      </c>
      <c r="B11" s="6" t="n">
        <v>2</v>
      </c>
      <c r="C11" s="6" t="s">
        <v>56</v>
      </c>
      <c r="D11" s="6" t="s">
        <v>57</v>
      </c>
      <c r="E11" s="6" t="s">
        <v>166</v>
      </c>
      <c r="F11" s="6" t="s">
        <v>167</v>
      </c>
      <c r="G11" s="6" t="s">
        <v>168</v>
      </c>
      <c r="H11" s="6" t="s">
        <v>136</v>
      </c>
      <c r="I11" s="6" t="s">
        <v>137</v>
      </c>
      <c r="J11" s="6" t="s">
        <v>138</v>
      </c>
      <c r="K11" s="7"/>
    </row>
    <row r="12" customFormat="false" ht="57.75" hidden="false" customHeight="true" outlineLevel="0" collapsed="false">
      <c r="A12" s="5" t="n">
        <v>11</v>
      </c>
      <c r="B12" s="5" t="n">
        <v>2</v>
      </c>
      <c r="C12" s="5" t="s">
        <v>56</v>
      </c>
      <c r="D12" s="5" t="s">
        <v>57</v>
      </c>
      <c r="E12" s="5" t="s">
        <v>169</v>
      </c>
      <c r="F12" s="5" t="s">
        <v>170</v>
      </c>
      <c r="G12" s="5" t="s">
        <v>171</v>
      </c>
      <c r="H12" s="5" t="s">
        <v>136</v>
      </c>
      <c r="I12" s="5" t="s">
        <v>137</v>
      </c>
      <c r="J12" s="5" t="s">
        <v>138</v>
      </c>
      <c r="K12" s="7"/>
    </row>
    <row r="13" customFormat="false" ht="57.75" hidden="false" customHeight="true" outlineLevel="0" collapsed="false">
      <c r="A13" s="6" t="n">
        <v>12</v>
      </c>
      <c r="B13" s="6" t="n">
        <v>2</v>
      </c>
      <c r="C13" s="6" t="s">
        <v>56</v>
      </c>
      <c r="D13" s="6" t="s">
        <v>57</v>
      </c>
      <c r="E13" s="6" t="s">
        <v>172</v>
      </c>
      <c r="F13" s="6" t="s">
        <v>173</v>
      </c>
      <c r="G13" s="6" t="s">
        <v>174</v>
      </c>
      <c r="H13" s="6" t="s">
        <v>136</v>
      </c>
      <c r="I13" s="6" t="s">
        <v>137</v>
      </c>
      <c r="J13" s="6" t="s">
        <v>154</v>
      </c>
      <c r="K13" s="7"/>
    </row>
    <row r="14" customFormat="false" ht="57.75" hidden="false" customHeight="true" outlineLevel="0" collapsed="false">
      <c r="A14" s="5" t="n">
        <v>13</v>
      </c>
      <c r="B14" s="5" t="n">
        <v>2</v>
      </c>
      <c r="C14" s="5" t="s">
        <v>56</v>
      </c>
      <c r="D14" s="5" t="s">
        <v>57</v>
      </c>
      <c r="E14" s="5" t="s">
        <v>175</v>
      </c>
      <c r="F14" s="5" t="s">
        <v>176</v>
      </c>
      <c r="G14" s="5" t="s">
        <v>177</v>
      </c>
      <c r="H14" s="5" t="s">
        <v>178</v>
      </c>
      <c r="I14" s="5" t="s">
        <v>137</v>
      </c>
      <c r="J14" s="5" t="s">
        <v>154</v>
      </c>
      <c r="K14" s="7"/>
    </row>
    <row r="15" customFormat="false" ht="57.75" hidden="false" customHeight="true" outlineLevel="0" collapsed="false">
      <c r="A15" s="6" t="n">
        <v>14</v>
      </c>
      <c r="B15" s="6" t="n">
        <v>3</v>
      </c>
      <c r="C15" s="6" t="s">
        <v>64</v>
      </c>
      <c r="D15" s="6" t="s">
        <v>65</v>
      </c>
      <c r="E15" s="6" t="s">
        <v>179</v>
      </c>
      <c r="F15" s="6" t="s">
        <v>180</v>
      </c>
      <c r="G15" s="6" t="s">
        <v>181</v>
      </c>
      <c r="H15" s="6" t="s">
        <v>136</v>
      </c>
      <c r="I15" s="6" t="s">
        <v>137</v>
      </c>
      <c r="J15" s="6" t="s">
        <v>138</v>
      </c>
      <c r="K15" s="7"/>
    </row>
    <row r="16" customFormat="false" ht="57.75" hidden="false" customHeight="true" outlineLevel="0" collapsed="false">
      <c r="A16" s="5" t="n">
        <v>15</v>
      </c>
      <c r="B16" s="5" t="n">
        <v>3</v>
      </c>
      <c r="C16" s="5" t="s">
        <v>64</v>
      </c>
      <c r="D16" s="5" t="s">
        <v>65</v>
      </c>
      <c r="E16" s="5" t="s">
        <v>182</v>
      </c>
      <c r="F16" s="5" t="s">
        <v>183</v>
      </c>
      <c r="G16" s="5" t="s">
        <v>184</v>
      </c>
      <c r="H16" s="5" t="s">
        <v>136</v>
      </c>
      <c r="I16" s="5" t="s">
        <v>137</v>
      </c>
      <c r="J16" s="5" t="s">
        <v>154</v>
      </c>
      <c r="K16" s="7"/>
    </row>
    <row r="17" customFormat="false" ht="57.75" hidden="false" customHeight="true" outlineLevel="0" collapsed="false">
      <c r="A17" s="6" t="n">
        <v>16</v>
      </c>
      <c r="B17" s="6" t="n">
        <v>3</v>
      </c>
      <c r="C17" s="6" t="s">
        <v>64</v>
      </c>
      <c r="D17" s="6" t="s">
        <v>65</v>
      </c>
      <c r="E17" s="6" t="s">
        <v>185</v>
      </c>
      <c r="F17" s="6" t="s">
        <v>186</v>
      </c>
      <c r="G17" s="6" t="s">
        <v>187</v>
      </c>
      <c r="H17" s="6" t="s">
        <v>165</v>
      </c>
      <c r="I17" s="6" t="s">
        <v>137</v>
      </c>
      <c r="J17" s="6" t="s">
        <v>154</v>
      </c>
      <c r="K17" s="7"/>
    </row>
    <row r="18" customFormat="false" ht="57.75" hidden="false" customHeight="true" outlineLevel="0" collapsed="false">
      <c r="A18" s="5" t="n">
        <v>17</v>
      </c>
      <c r="B18" s="5" t="n">
        <v>3</v>
      </c>
      <c r="C18" s="5" t="s">
        <v>64</v>
      </c>
      <c r="D18" s="5" t="s">
        <v>65</v>
      </c>
      <c r="E18" s="5" t="s">
        <v>188</v>
      </c>
      <c r="F18" s="5" t="s">
        <v>189</v>
      </c>
      <c r="G18" s="5" t="s">
        <v>190</v>
      </c>
      <c r="H18" s="5" t="s">
        <v>165</v>
      </c>
      <c r="I18" s="5" t="s">
        <v>137</v>
      </c>
      <c r="J18" s="5" t="s">
        <v>154</v>
      </c>
      <c r="K18" s="7"/>
    </row>
    <row r="19" customFormat="false" ht="57.75" hidden="false" customHeight="true" outlineLevel="0" collapsed="false">
      <c r="A19" s="6" t="n">
        <v>18</v>
      </c>
      <c r="B19" s="6" t="n">
        <v>3</v>
      </c>
      <c r="C19" s="6" t="s">
        <v>64</v>
      </c>
      <c r="D19" s="6" t="s">
        <v>65</v>
      </c>
      <c r="E19" s="6" t="s">
        <v>191</v>
      </c>
      <c r="F19" s="6" t="s">
        <v>192</v>
      </c>
      <c r="G19" s="6" t="s">
        <v>193</v>
      </c>
      <c r="H19" s="6" t="s">
        <v>136</v>
      </c>
      <c r="I19" s="6" t="s">
        <v>137</v>
      </c>
      <c r="J19" s="6" t="s">
        <v>138</v>
      </c>
      <c r="K19" s="7"/>
    </row>
    <row r="20" customFormat="false" ht="57.75" hidden="false" customHeight="true" outlineLevel="0" collapsed="false">
      <c r="A20" s="5" t="n">
        <v>19</v>
      </c>
      <c r="B20" s="5" t="n">
        <v>3</v>
      </c>
      <c r="C20" s="5" t="s">
        <v>64</v>
      </c>
      <c r="D20" s="5" t="s">
        <v>65</v>
      </c>
      <c r="E20" s="5" t="s">
        <v>194</v>
      </c>
      <c r="F20" s="5" t="s">
        <v>195</v>
      </c>
      <c r="G20" s="5" t="s">
        <v>196</v>
      </c>
      <c r="H20" s="5" t="s">
        <v>165</v>
      </c>
      <c r="I20" s="5" t="s">
        <v>137</v>
      </c>
      <c r="J20" s="5" t="s">
        <v>154</v>
      </c>
      <c r="K20" s="7"/>
    </row>
    <row r="21" customFormat="false" ht="57.75" hidden="false" customHeight="true" outlineLevel="0" collapsed="false">
      <c r="A21" s="6" t="n">
        <v>20</v>
      </c>
      <c r="B21" s="6" t="n">
        <v>3</v>
      </c>
      <c r="C21" s="6" t="s">
        <v>64</v>
      </c>
      <c r="D21" s="6" t="s">
        <v>65</v>
      </c>
      <c r="E21" s="6" t="s">
        <v>197</v>
      </c>
      <c r="F21" s="6" t="s">
        <v>198</v>
      </c>
      <c r="G21" s="6" t="s">
        <v>199</v>
      </c>
      <c r="H21" s="6" t="s">
        <v>136</v>
      </c>
      <c r="I21" s="6" t="s">
        <v>137</v>
      </c>
      <c r="J21" s="6" t="s">
        <v>138</v>
      </c>
      <c r="K21" s="7"/>
    </row>
    <row r="22" customFormat="false" ht="57.75" hidden="false" customHeight="true" outlineLevel="0" collapsed="false">
      <c r="A22" s="5" t="n">
        <v>21</v>
      </c>
      <c r="B22" s="5" t="n">
        <v>3</v>
      </c>
      <c r="C22" s="5" t="s">
        <v>64</v>
      </c>
      <c r="D22" s="5" t="s">
        <v>65</v>
      </c>
      <c r="E22" s="5" t="s">
        <v>200</v>
      </c>
      <c r="F22" s="5" t="s">
        <v>201</v>
      </c>
      <c r="G22" s="5" t="s">
        <v>202</v>
      </c>
      <c r="H22" s="5" t="s">
        <v>158</v>
      </c>
      <c r="I22" s="5" t="s">
        <v>137</v>
      </c>
      <c r="J22" s="5" t="s">
        <v>138</v>
      </c>
      <c r="K22" s="7"/>
    </row>
    <row r="23" customFormat="false" ht="57.75" hidden="false" customHeight="true" outlineLevel="0" collapsed="false">
      <c r="A23" s="6" t="n">
        <v>22</v>
      </c>
      <c r="B23" s="6" t="n">
        <v>3</v>
      </c>
      <c r="C23" s="6" t="s">
        <v>64</v>
      </c>
      <c r="D23" s="6" t="s">
        <v>65</v>
      </c>
      <c r="E23" s="6" t="s">
        <v>203</v>
      </c>
      <c r="F23" s="6" t="s">
        <v>204</v>
      </c>
      <c r="G23" s="6" t="s">
        <v>205</v>
      </c>
      <c r="H23" s="6" t="s">
        <v>158</v>
      </c>
      <c r="I23" s="6" t="s">
        <v>137</v>
      </c>
      <c r="J23" s="6" t="s">
        <v>138</v>
      </c>
      <c r="K23" s="7"/>
    </row>
    <row r="24" customFormat="false" ht="57.75" hidden="false" customHeight="true" outlineLevel="0" collapsed="false">
      <c r="A24" s="5" t="n">
        <v>23</v>
      </c>
      <c r="B24" s="5" t="n">
        <v>4</v>
      </c>
      <c r="C24" s="5" t="s">
        <v>73</v>
      </c>
      <c r="D24" s="5" t="s">
        <v>74</v>
      </c>
      <c r="E24" s="5" t="s">
        <v>206</v>
      </c>
      <c r="F24" s="5" t="s">
        <v>207</v>
      </c>
      <c r="G24" s="5" t="s">
        <v>208</v>
      </c>
      <c r="H24" s="5" t="s">
        <v>136</v>
      </c>
      <c r="I24" s="5" t="s">
        <v>137</v>
      </c>
      <c r="J24" s="5" t="s">
        <v>154</v>
      </c>
      <c r="K24" s="7"/>
    </row>
    <row r="25" customFormat="false" ht="57.75" hidden="false" customHeight="true" outlineLevel="0" collapsed="false">
      <c r="A25" s="6" t="n">
        <v>24</v>
      </c>
      <c r="B25" s="6" t="n">
        <v>4</v>
      </c>
      <c r="C25" s="6" t="s">
        <v>73</v>
      </c>
      <c r="D25" s="6" t="s">
        <v>74</v>
      </c>
      <c r="E25" s="6" t="s">
        <v>209</v>
      </c>
      <c r="F25" s="6" t="s">
        <v>210</v>
      </c>
      <c r="G25" s="6" t="s">
        <v>211</v>
      </c>
      <c r="H25" s="6" t="s">
        <v>136</v>
      </c>
      <c r="I25" s="6" t="s">
        <v>137</v>
      </c>
      <c r="J25" s="6" t="s">
        <v>154</v>
      </c>
      <c r="K25" s="7"/>
    </row>
    <row r="26" customFormat="false" ht="57.75" hidden="false" customHeight="true" outlineLevel="0" collapsed="false">
      <c r="A26" s="5" t="n">
        <v>25</v>
      </c>
      <c r="B26" s="5" t="n">
        <v>4</v>
      </c>
      <c r="C26" s="5" t="s">
        <v>73</v>
      </c>
      <c r="D26" s="5" t="s">
        <v>74</v>
      </c>
      <c r="E26" s="5" t="s">
        <v>212</v>
      </c>
      <c r="F26" s="5" t="s">
        <v>213</v>
      </c>
      <c r="G26" s="5" t="s">
        <v>214</v>
      </c>
      <c r="H26" s="5" t="s">
        <v>165</v>
      </c>
      <c r="I26" s="5" t="s">
        <v>137</v>
      </c>
      <c r="J26" s="5" t="s">
        <v>154</v>
      </c>
      <c r="K26" s="7"/>
    </row>
    <row r="27" customFormat="false" ht="57.75" hidden="false" customHeight="true" outlineLevel="0" collapsed="false">
      <c r="A27" s="6" t="n">
        <v>26</v>
      </c>
      <c r="B27" s="6" t="n">
        <v>4</v>
      </c>
      <c r="C27" s="6" t="s">
        <v>73</v>
      </c>
      <c r="D27" s="6" t="s">
        <v>74</v>
      </c>
      <c r="E27" s="6" t="s">
        <v>215</v>
      </c>
      <c r="F27" s="6" t="s">
        <v>216</v>
      </c>
      <c r="G27" s="6" t="s">
        <v>217</v>
      </c>
      <c r="H27" s="6" t="s">
        <v>165</v>
      </c>
      <c r="I27" s="6" t="s">
        <v>137</v>
      </c>
      <c r="J27" s="6" t="s">
        <v>154</v>
      </c>
      <c r="K27" s="7"/>
    </row>
    <row r="28" customFormat="false" ht="57.75" hidden="false" customHeight="true" outlineLevel="0" collapsed="false">
      <c r="A28" s="5" t="n">
        <v>27</v>
      </c>
      <c r="B28" s="5" t="n">
        <v>4</v>
      </c>
      <c r="C28" s="5" t="s">
        <v>73</v>
      </c>
      <c r="D28" s="5" t="s">
        <v>74</v>
      </c>
      <c r="E28" s="5" t="s">
        <v>218</v>
      </c>
      <c r="F28" s="5" t="s">
        <v>219</v>
      </c>
      <c r="G28" s="5" t="s">
        <v>220</v>
      </c>
      <c r="H28" s="5" t="s">
        <v>136</v>
      </c>
      <c r="I28" s="5" t="s">
        <v>137</v>
      </c>
      <c r="J28" s="5" t="s">
        <v>154</v>
      </c>
      <c r="K28" s="7"/>
    </row>
    <row r="29" customFormat="false" ht="57.75" hidden="false" customHeight="true" outlineLevel="0" collapsed="false">
      <c r="A29" s="6" t="n">
        <v>28</v>
      </c>
      <c r="B29" s="6" t="n">
        <v>4</v>
      </c>
      <c r="C29" s="6" t="s">
        <v>73</v>
      </c>
      <c r="D29" s="6" t="s">
        <v>74</v>
      </c>
      <c r="E29" s="6" t="s">
        <v>221</v>
      </c>
      <c r="F29" s="6" t="s">
        <v>222</v>
      </c>
      <c r="G29" s="6" t="s">
        <v>223</v>
      </c>
      <c r="H29" s="6" t="s">
        <v>136</v>
      </c>
      <c r="I29" s="6" t="s">
        <v>137</v>
      </c>
      <c r="J29" s="6" t="s">
        <v>138</v>
      </c>
      <c r="K29" s="7"/>
    </row>
    <row r="30" customFormat="false" ht="57.75" hidden="false" customHeight="true" outlineLevel="0" collapsed="false">
      <c r="A30" s="5" t="n">
        <v>29</v>
      </c>
      <c r="B30" s="5" t="n">
        <v>4</v>
      </c>
      <c r="C30" s="5" t="s">
        <v>73</v>
      </c>
      <c r="D30" s="5" t="s">
        <v>74</v>
      </c>
      <c r="E30" s="5" t="s">
        <v>224</v>
      </c>
      <c r="F30" s="5" t="s">
        <v>225</v>
      </c>
      <c r="G30" s="5" t="s">
        <v>226</v>
      </c>
      <c r="H30" s="5" t="s">
        <v>136</v>
      </c>
      <c r="I30" s="5" t="s">
        <v>137</v>
      </c>
      <c r="J30" s="5" t="s">
        <v>138</v>
      </c>
      <c r="K30" s="7"/>
    </row>
    <row r="31" customFormat="false" ht="57.75" hidden="false" customHeight="true" outlineLevel="0" collapsed="false">
      <c r="A31" s="6" t="n">
        <v>30</v>
      </c>
      <c r="B31" s="6" t="n">
        <v>4</v>
      </c>
      <c r="C31" s="6" t="s">
        <v>73</v>
      </c>
      <c r="D31" s="6" t="s">
        <v>74</v>
      </c>
      <c r="E31" s="6" t="s">
        <v>227</v>
      </c>
      <c r="F31" s="6" t="s">
        <v>228</v>
      </c>
      <c r="G31" s="6" t="s">
        <v>229</v>
      </c>
      <c r="H31" s="6" t="s">
        <v>136</v>
      </c>
      <c r="I31" s="6" t="s">
        <v>137</v>
      </c>
      <c r="J31" s="6" t="s">
        <v>138</v>
      </c>
      <c r="K31" s="7"/>
    </row>
    <row r="32" customFormat="false" ht="57.75" hidden="false" customHeight="true" outlineLevel="0" collapsed="false">
      <c r="A32" s="5" t="n">
        <v>31</v>
      </c>
      <c r="B32" s="5" t="n">
        <v>5</v>
      </c>
      <c r="C32" s="5" t="s">
        <v>82</v>
      </c>
      <c r="D32" s="5" t="s">
        <v>83</v>
      </c>
      <c r="E32" s="5" t="s">
        <v>230</v>
      </c>
      <c r="F32" s="5" t="s">
        <v>231</v>
      </c>
      <c r="G32" s="5" t="s">
        <v>232</v>
      </c>
      <c r="H32" s="5" t="s">
        <v>136</v>
      </c>
      <c r="I32" s="5" t="s">
        <v>137</v>
      </c>
      <c r="J32" s="5" t="s">
        <v>154</v>
      </c>
      <c r="K32" s="7"/>
    </row>
    <row r="33" customFormat="false" ht="57.75" hidden="false" customHeight="true" outlineLevel="0" collapsed="false">
      <c r="A33" s="6" t="n">
        <v>32</v>
      </c>
      <c r="B33" s="6" t="n">
        <v>5</v>
      </c>
      <c r="C33" s="6" t="s">
        <v>82</v>
      </c>
      <c r="D33" s="6" t="s">
        <v>83</v>
      </c>
      <c r="E33" s="6" t="s">
        <v>233</v>
      </c>
      <c r="F33" s="6" t="s">
        <v>234</v>
      </c>
      <c r="G33" s="6" t="s">
        <v>235</v>
      </c>
      <c r="H33" s="6" t="s">
        <v>136</v>
      </c>
      <c r="I33" s="6" t="s">
        <v>137</v>
      </c>
      <c r="J33" s="6" t="s">
        <v>138</v>
      </c>
      <c r="K33" s="7"/>
    </row>
    <row r="34" customFormat="false" ht="57.75" hidden="false" customHeight="true" outlineLevel="0" collapsed="false">
      <c r="A34" s="5" t="n">
        <v>33</v>
      </c>
      <c r="B34" s="5" t="n">
        <v>5</v>
      </c>
      <c r="C34" s="5" t="s">
        <v>82</v>
      </c>
      <c r="D34" s="5" t="s">
        <v>83</v>
      </c>
      <c r="E34" s="5" t="s">
        <v>236</v>
      </c>
      <c r="F34" s="5" t="s">
        <v>237</v>
      </c>
      <c r="G34" s="5" t="s">
        <v>238</v>
      </c>
      <c r="H34" s="5" t="s">
        <v>136</v>
      </c>
      <c r="I34" s="5" t="s">
        <v>137</v>
      </c>
      <c r="J34" s="5" t="s">
        <v>154</v>
      </c>
      <c r="K34" s="7"/>
    </row>
    <row r="35" customFormat="false" ht="57.75" hidden="false" customHeight="true" outlineLevel="0" collapsed="false">
      <c r="A35" s="6" t="n">
        <v>34</v>
      </c>
      <c r="B35" s="6" t="n">
        <v>5</v>
      </c>
      <c r="C35" s="6" t="s">
        <v>82</v>
      </c>
      <c r="D35" s="6" t="s">
        <v>83</v>
      </c>
      <c r="E35" s="6" t="s">
        <v>239</v>
      </c>
      <c r="F35" s="6" t="s">
        <v>240</v>
      </c>
      <c r="G35" s="6" t="s">
        <v>241</v>
      </c>
      <c r="H35" s="6" t="s">
        <v>136</v>
      </c>
      <c r="I35" s="6" t="s">
        <v>137</v>
      </c>
      <c r="J35" s="6" t="s">
        <v>154</v>
      </c>
      <c r="K35" s="7"/>
    </row>
    <row r="36" customFormat="false" ht="57.75" hidden="false" customHeight="true" outlineLevel="0" collapsed="false">
      <c r="A36" s="5" t="n">
        <v>35</v>
      </c>
      <c r="B36" s="5" t="n">
        <v>5</v>
      </c>
      <c r="C36" s="5" t="s">
        <v>82</v>
      </c>
      <c r="D36" s="5" t="s">
        <v>83</v>
      </c>
      <c r="E36" s="5" t="s">
        <v>242</v>
      </c>
      <c r="F36" s="5" t="s">
        <v>243</v>
      </c>
      <c r="G36" s="5" t="s">
        <v>244</v>
      </c>
      <c r="H36" s="5" t="s">
        <v>136</v>
      </c>
      <c r="I36" s="5" t="s">
        <v>137</v>
      </c>
      <c r="J36" s="5" t="s">
        <v>154</v>
      </c>
      <c r="K36" s="7"/>
    </row>
    <row r="37" customFormat="false" ht="57.75" hidden="false" customHeight="true" outlineLevel="0" collapsed="false">
      <c r="A37" s="6" t="n">
        <v>36</v>
      </c>
      <c r="B37" s="6" t="n">
        <v>5</v>
      </c>
      <c r="C37" s="6" t="s">
        <v>82</v>
      </c>
      <c r="D37" s="6" t="s">
        <v>83</v>
      </c>
      <c r="E37" s="6" t="s">
        <v>245</v>
      </c>
      <c r="F37" s="6" t="s">
        <v>246</v>
      </c>
      <c r="G37" s="6" t="s">
        <v>247</v>
      </c>
      <c r="H37" s="6" t="s">
        <v>136</v>
      </c>
      <c r="I37" s="6" t="s">
        <v>137</v>
      </c>
      <c r="J37" s="6" t="s">
        <v>154</v>
      </c>
      <c r="K37" s="7"/>
    </row>
    <row r="38" customFormat="false" ht="57.75" hidden="false" customHeight="true" outlineLevel="0" collapsed="false">
      <c r="A38" s="5" t="n">
        <v>37</v>
      </c>
      <c r="B38" s="5" t="n">
        <v>5</v>
      </c>
      <c r="C38" s="5" t="s">
        <v>82</v>
      </c>
      <c r="D38" s="5" t="s">
        <v>83</v>
      </c>
      <c r="E38" s="5" t="s">
        <v>248</v>
      </c>
      <c r="F38" s="5" t="s">
        <v>249</v>
      </c>
      <c r="G38" s="5" t="s">
        <v>250</v>
      </c>
      <c r="H38" s="5" t="s">
        <v>136</v>
      </c>
      <c r="I38" s="5" t="s">
        <v>137</v>
      </c>
      <c r="J38" s="5" t="s">
        <v>138</v>
      </c>
      <c r="K38" s="7"/>
    </row>
    <row r="39" customFormat="false" ht="57.75" hidden="false" customHeight="true" outlineLevel="0" collapsed="false">
      <c r="A39" s="6" t="n">
        <v>38</v>
      </c>
      <c r="B39" s="6" t="n">
        <v>5</v>
      </c>
      <c r="C39" s="6" t="s">
        <v>82</v>
      </c>
      <c r="D39" s="6" t="s">
        <v>83</v>
      </c>
      <c r="E39" s="6" t="s">
        <v>251</v>
      </c>
      <c r="F39" s="6" t="s">
        <v>252</v>
      </c>
      <c r="G39" s="6" t="s">
        <v>253</v>
      </c>
      <c r="H39" s="6" t="s">
        <v>136</v>
      </c>
      <c r="I39" s="6" t="s">
        <v>137</v>
      </c>
      <c r="J39" s="6" t="s">
        <v>138</v>
      </c>
      <c r="K39" s="7"/>
    </row>
    <row r="40" customFormat="false" ht="57.75" hidden="false" customHeight="true" outlineLevel="0" collapsed="false">
      <c r="A40" s="5" t="n">
        <v>39</v>
      </c>
      <c r="B40" s="5" t="n">
        <v>6</v>
      </c>
      <c r="C40" s="5" t="s">
        <v>90</v>
      </c>
      <c r="D40" s="5" t="s">
        <v>91</v>
      </c>
      <c r="E40" s="5" t="s">
        <v>254</v>
      </c>
      <c r="F40" s="5" t="s">
        <v>255</v>
      </c>
      <c r="G40" s="5" t="s">
        <v>256</v>
      </c>
      <c r="H40" s="5" t="s">
        <v>136</v>
      </c>
      <c r="I40" s="5" t="s">
        <v>137</v>
      </c>
      <c r="J40" s="5" t="s">
        <v>154</v>
      </c>
      <c r="K40" s="7"/>
    </row>
    <row r="41" customFormat="false" ht="57.75" hidden="false" customHeight="true" outlineLevel="0" collapsed="false">
      <c r="A41" s="8" t="n">
        <v>40</v>
      </c>
      <c r="B41" s="8" t="n">
        <v>6</v>
      </c>
      <c r="C41" s="8" t="s">
        <v>90</v>
      </c>
      <c r="D41" s="8" t="s">
        <v>91</v>
      </c>
      <c r="E41" s="8" t="s">
        <v>257</v>
      </c>
      <c r="F41" s="8" t="s">
        <v>258</v>
      </c>
      <c r="G41" s="8" t="s">
        <v>259</v>
      </c>
      <c r="H41" s="8" t="s">
        <v>136</v>
      </c>
      <c r="I41" s="8" t="s">
        <v>260</v>
      </c>
      <c r="J41" s="8" t="s">
        <v>138</v>
      </c>
      <c r="K41" s="8"/>
    </row>
    <row r="42" customFormat="false" ht="57.75" hidden="false" customHeight="true" outlineLevel="0" collapsed="false">
      <c r="A42" s="5" t="n">
        <v>41</v>
      </c>
      <c r="B42" s="5" t="n">
        <v>6</v>
      </c>
      <c r="C42" s="5" t="s">
        <v>90</v>
      </c>
      <c r="D42" s="5" t="s">
        <v>91</v>
      </c>
      <c r="E42" s="5" t="s">
        <v>261</v>
      </c>
      <c r="F42" s="5" t="s">
        <v>262</v>
      </c>
      <c r="G42" s="5" t="s">
        <v>263</v>
      </c>
      <c r="H42" s="5" t="s">
        <v>136</v>
      </c>
      <c r="I42" s="5" t="s">
        <v>137</v>
      </c>
      <c r="J42" s="5" t="s">
        <v>154</v>
      </c>
      <c r="K42" s="7"/>
    </row>
    <row r="43" customFormat="false" ht="57.75" hidden="false" customHeight="true" outlineLevel="0" collapsed="false">
      <c r="A43" s="6" t="n">
        <v>42</v>
      </c>
      <c r="B43" s="6" t="n">
        <v>6</v>
      </c>
      <c r="C43" s="6" t="s">
        <v>90</v>
      </c>
      <c r="D43" s="6" t="s">
        <v>91</v>
      </c>
      <c r="E43" s="6" t="s">
        <v>264</v>
      </c>
      <c r="F43" s="6" t="s">
        <v>265</v>
      </c>
      <c r="G43" s="6" t="s">
        <v>266</v>
      </c>
      <c r="H43" s="6" t="s">
        <v>136</v>
      </c>
      <c r="I43" s="6" t="s">
        <v>137</v>
      </c>
      <c r="J43" s="6" t="s">
        <v>154</v>
      </c>
      <c r="K43" s="7"/>
    </row>
    <row r="44" customFormat="false" ht="57.75" hidden="false" customHeight="true" outlineLevel="0" collapsed="false">
      <c r="A44" s="5" t="n">
        <v>43</v>
      </c>
      <c r="B44" s="5" t="n">
        <v>6</v>
      </c>
      <c r="C44" s="5" t="s">
        <v>90</v>
      </c>
      <c r="D44" s="5" t="s">
        <v>91</v>
      </c>
      <c r="E44" s="5" t="s">
        <v>267</v>
      </c>
      <c r="F44" s="5" t="s">
        <v>268</v>
      </c>
      <c r="G44" s="5" t="s">
        <v>269</v>
      </c>
      <c r="H44" s="5" t="s">
        <v>136</v>
      </c>
      <c r="I44" s="5" t="s">
        <v>137</v>
      </c>
      <c r="J44" s="5" t="s">
        <v>154</v>
      </c>
      <c r="K44" s="7"/>
    </row>
    <row r="45" customFormat="false" ht="57.75" hidden="false" customHeight="true" outlineLevel="0" collapsed="false">
      <c r="A45" s="6" t="n">
        <v>44</v>
      </c>
      <c r="B45" s="6" t="n">
        <v>6</v>
      </c>
      <c r="C45" s="6" t="s">
        <v>90</v>
      </c>
      <c r="D45" s="6" t="s">
        <v>91</v>
      </c>
      <c r="E45" s="6" t="s">
        <v>270</v>
      </c>
      <c r="F45" s="6" t="s">
        <v>271</v>
      </c>
      <c r="G45" s="6" t="s">
        <v>272</v>
      </c>
      <c r="H45" s="6" t="s">
        <v>158</v>
      </c>
      <c r="I45" s="6" t="s">
        <v>137</v>
      </c>
      <c r="J45" s="6" t="s">
        <v>138</v>
      </c>
      <c r="K45" s="7"/>
    </row>
    <row r="46" customFormat="false" ht="57.75" hidden="false" customHeight="true" outlineLevel="0" collapsed="false">
      <c r="A46" s="8" t="n">
        <v>45</v>
      </c>
      <c r="B46" s="8" t="n">
        <v>6</v>
      </c>
      <c r="C46" s="8" t="s">
        <v>90</v>
      </c>
      <c r="D46" s="8" t="s">
        <v>91</v>
      </c>
      <c r="E46" s="8" t="s">
        <v>273</v>
      </c>
      <c r="F46" s="8" t="s">
        <v>274</v>
      </c>
      <c r="G46" s="8" t="s">
        <v>275</v>
      </c>
      <c r="H46" s="8" t="s">
        <v>136</v>
      </c>
      <c r="I46" s="8" t="s">
        <v>260</v>
      </c>
      <c r="J46" s="8" t="s">
        <v>138</v>
      </c>
      <c r="K46" s="8"/>
    </row>
    <row r="47" customFormat="false" ht="57.75" hidden="false" customHeight="true" outlineLevel="0" collapsed="false">
      <c r="A47" s="6" t="n">
        <v>46</v>
      </c>
      <c r="B47" s="6" t="n">
        <v>7</v>
      </c>
      <c r="C47" s="6" t="s">
        <v>98</v>
      </c>
      <c r="D47" s="6" t="s">
        <v>99</v>
      </c>
      <c r="E47" s="6" t="s">
        <v>276</v>
      </c>
      <c r="F47" s="6" t="s">
        <v>277</v>
      </c>
      <c r="G47" s="6" t="s">
        <v>278</v>
      </c>
      <c r="H47" s="6" t="s">
        <v>136</v>
      </c>
      <c r="I47" s="6" t="s">
        <v>137</v>
      </c>
      <c r="J47" s="6" t="s">
        <v>154</v>
      </c>
      <c r="K47" s="7"/>
    </row>
    <row r="48" customFormat="false" ht="57.75" hidden="false" customHeight="true" outlineLevel="0" collapsed="false">
      <c r="A48" s="5" t="n">
        <v>47</v>
      </c>
      <c r="B48" s="5" t="n">
        <v>7</v>
      </c>
      <c r="C48" s="5" t="s">
        <v>98</v>
      </c>
      <c r="D48" s="5" t="s">
        <v>99</v>
      </c>
      <c r="E48" s="5" t="s">
        <v>279</v>
      </c>
      <c r="F48" s="5" t="s">
        <v>280</v>
      </c>
      <c r="G48" s="5" t="s">
        <v>281</v>
      </c>
      <c r="H48" s="5" t="s">
        <v>136</v>
      </c>
      <c r="I48" s="5" t="s">
        <v>137</v>
      </c>
      <c r="J48" s="5" t="s">
        <v>154</v>
      </c>
      <c r="K48" s="7"/>
    </row>
    <row r="49" customFormat="false" ht="57.75" hidden="false" customHeight="true" outlineLevel="0" collapsed="false">
      <c r="A49" s="6" t="n">
        <v>48</v>
      </c>
      <c r="B49" s="6" t="n">
        <v>7</v>
      </c>
      <c r="C49" s="6" t="s">
        <v>98</v>
      </c>
      <c r="D49" s="6" t="s">
        <v>99</v>
      </c>
      <c r="E49" s="6" t="s">
        <v>282</v>
      </c>
      <c r="F49" s="6" t="s">
        <v>283</v>
      </c>
      <c r="G49" s="6" t="s">
        <v>284</v>
      </c>
      <c r="H49" s="6" t="s">
        <v>136</v>
      </c>
      <c r="I49" s="6" t="s">
        <v>137</v>
      </c>
      <c r="J49" s="6" t="s">
        <v>154</v>
      </c>
      <c r="K49" s="7"/>
    </row>
    <row r="50" customFormat="false" ht="57.75" hidden="false" customHeight="true" outlineLevel="0" collapsed="false">
      <c r="A50" s="5" t="n">
        <v>49</v>
      </c>
      <c r="B50" s="5" t="n">
        <v>7</v>
      </c>
      <c r="C50" s="5" t="s">
        <v>98</v>
      </c>
      <c r="D50" s="5" t="s">
        <v>99</v>
      </c>
      <c r="E50" s="5" t="s">
        <v>285</v>
      </c>
      <c r="F50" s="5" t="s">
        <v>286</v>
      </c>
      <c r="G50" s="5" t="s">
        <v>287</v>
      </c>
      <c r="H50" s="5" t="s">
        <v>136</v>
      </c>
      <c r="I50" s="5" t="s">
        <v>137</v>
      </c>
      <c r="J50" s="5" t="s">
        <v>154</v>
      </c>
      <c r="K50" s="7"/>
    </row>
    <row r="51" customFormat="false" ht="57.75" hidden="false" customHeight="true" outlineLevel="0" collapsed="false">
      <c r="A51" s="6" t="n">
        <v>50</v>
      </c>
      <c r="B51" s="6" t="n">
        <v>7</v>
      </c>
      <c r="C51" s="6" t="s">
        <v>98</v>
      </c>
      <c r="D51" s="6" t="s">
        <v>99</v>
      </c>
      <c r="E51" s="6" t="s">
        <v>288</v>
      </c>
      <c r="F51" s="6" t="s">
        <v>289</v>
      </c>
      <c r="G51" s="6" t="s">
        <v>290</v>
      </c>
      <c r="H51" s="6" t="s">
        <v>136</v>
      </c>
      <c r="I51" s="6" t="s">
        <v>137</v>
      </c>
      <c r="J51" s="6" t="s">
        <v>138</v>
      </c>
      <c r="K51" s="7"/>
    </row>
    <row r="52" customFormat="false" ht="57.75" hidden="false" customHeight="true" outlineLevel="0" collapsed="false">
      <c r="A52" s="5" t="n">
        <v>51</v>
      </c>
      <c r="B52" s="5" t="n">
        <v>7</v>
      </c>
      <c r="C52" s="5" t="s">
        <v>98</v>
      </c>
      <c r="D52" s="5" t="s">
        <v>99</v>
      </c>
      <c r="E52" s="5" t="s">
        <v>291</v>
      </c>
      <c r="F52" s="5" t="s">
        <v>292</v>
      </c>
      <c r="G52" s="5" t="s">
        <v>293</v>
      </c>
      <c r="H52" s="5" t="s">
        <v>136</v>
      </c>
      <c r="I52" s="5" t="s">
        <v>137</v>
      </c>
      <c r="J52" s="5" t="s">
        <v>138</v>
      </c>
      <c r="K52" s="7"/>
    </row>
    <row r="53" customFormat="false" ht="57.75" hidden="false" customHeight="true" outlineLevel="0" collapsed="false">
      <c r="A53" s="6" t="n">
        <v>52</v>
      </c>
      <c r="B53" s="6" t="n">
        <v>7</v>
      </c>
      <c r="C53" s="6" t="s">
        <v>98</v>
      </c>
      <c r="D53" s="6" t="s">
        <v>99</v>
      </c>
      <c r="E53" s="6" t="s">
        <v>294</v>
      </c>
      <c r="F53" s="6" t="s">
        <v>295</v>
      </c>
      <c r="G53" s="6" t="s">
        <v>296</v>
      </c>
      <c r="H53" s="6" t="s">
        <v>158</v>
      </c>
      <c r="I53" s="6" t="s">
        <v>137</v>
      </c>
      <c r="J53" s="6" t="s">
        <v>138</v>
      </c>
      <c r="K53" s="7"/>
    </row>
    <row r="54" customFormat="false" ht="57.75" hidden="false" customHeight="true" outlineLevel="0" collapsed="false">
      <c r="A54" s="5" t="n">
        <v>53</v>
      </c>
      <c r="B54" s="5" t="n">
        <v>8</v>
      </c>
      <c r="C54" s="5" t="s">
        <v>106</v>
      </c>
      <c r="D54" s="5" t="s">
        <v>107</v>
      </c>
      <c r="E54" s="5" t="s">
        <v>297</v>
      </c>
      <c r="F54" s="5" t="s">
        <v>298</v>
      </c>
      <c r="G54" s="5" t="s">
        <v>299</v>
      </c>
      <c r="H54" s="5" t="s">
        <v>136</v>
      </c>
      <c r="I54" s="5" t="s">
        <v>137</v>
      </c>
      <c r="J54" s="5" t="s">
        <v>138</v>
      </c>
      <c r="K54" s="7"/>
    </row>
    <row r="55" customFormat="false" ht="57.75" hidden="false" customHeight="true" outlineLevel="0" collapsed="false">
      <c r="A55" s="6" t="n">
        <v>54</v>
      </c>
      <c r="B55" s="6" t="n">
        <v>8</v>
      </c>
      <c r="C55" s="6" t="s">
        <v>106</v>
      </c>
      <c r="D55" s="6" t="s">
        <v>107</v>
      </c>
      <c r="E55" s="6" t="s">
        <v>300</v>
      </c>
      <c r="F55" s="6" t="s">
        <v>301</v>
      </c>
      <c r="G55" s="6" t="s">
        <v>302</v>
      </c>
      <c r="H55" s="6" t="s">
        <v>136</v>
      </c>
      <c r="I55" s="6" t="s">
        <v>137</v>
      </c>
      <c r="J55" s="6" t="s">
        <v>138</v>
      </c>
      <c r="K55" s="7"/>
    </row>
    <row r="56" customFormat="false" ht="57.75" hidden="false" customHeight="true" outlineLevel="0" collapsed="false">
      <c r="A56" s="5" t="n">
        <v>55</v>
      </c>
      <c r="B56" s="5" t="n">
        <v>8</v>
      </c>
      <c r="C56" s="5" t="s">
        <v>106</v>
      </c>
      <c r="D56" s="5" t="s">
        <v>107</v>
      </c>
      <c r="E56" s="5" t="s">
        <v>303</v>
      </c>
      <c r="F56" s="5" t="s">
        <v>304</v>
      </c>
      <c r="G56" s="5" t="s">
        <v>305</v>
      </c>
      <c r="H56" s="5" t="s">
        <v>136</v>
      </c>
      <c r="I56" s="5" t="s">
        <v>137</v>
      </c>
      <c r="J56" s="5" t="s">
        <v>154</v>
      </c>
      <c r="K56" s="7"/>
    </row>
    <row r="57" customFormat="false" ht="57.75" hidden="false" customHeight="true" outlineLevel="0" collapsed="false">
      <c r="A57" s="6" t="n">
        <v>56</v>
      </c>
      <c r="B57" s="6" t="n">
        <v>8</v>
      </c>
      <c r="C57" s="6" t="s">
        <v>106</v>
      </c>
      <c r="D57" s="6" t="s">
        <v>107</v>
      </c>
      <c r="E57" s="6" t="s">
        <v>306</v>
      </c>
      <c r="F57" s="6" t="s">
        <v>307</v>
      </c>
      <c r="G57" s="6" t="s">
        <v>308</v>
      </c>
      <c r="H57" s="6" t="s">
        <v>136</v>
      </c>
      <c r="I57" s="6" t="s">
        <v>137</v>
      </c>
      <c r="J57" s="6" t="s">
        <v>154</v>
      </c>
      <c r="K57" s="7"/>
    </row>
    <row r="58" customFormat="false" ht="57.75" hidden="false" customHeight="true" outlineLevel="0" collapsed="false">
      <c r="A58" s="5" t="n">
        <v>57</v>
      </c>
      <c r="B58" s="5" t="n">
        <v>8</v>
      </c>
      <c r="C58" s="5" t="s">
        <v>106</v>
      </c>
      <c r="D58" s="5" t="s">
        <v>107</v>
      </c>
      <c r="E58" s="5" t="s">
        <v>309</v>
      </c>
      <c r="F58" s="5" t="s">
        <v>310</v>
      </c>
      <c r="G58" s="5" t="s">
        <v>311</v>
      </c>
      <c r="H58" s="5" t="s">
        <v>136</v>
      </c>
      <c r="I58" s="5" t="s">
        <v>137</v>
      </c>
      <c r="J58" s="5" t="s">
        <v>154</v>
      </c>
      <c r="K58" s="7"/>
    </row>
    <row r="59" customFormat="false" ht="57.75" hidden="false" customHeight="true" outlineLevel="0" collapsed="false">
      <c r="A59" s="6" t="n">
        <v>58</v>
      </c>
      <c r="B59" s="6" t="n">
        <v>8</v>
      </c>
      <c r="C59" s="6" t="s">
        <v>106</v>
      </c>
      <c r="D59" s="6" t="s">
        <v>107</v>
      </c>
      <c r="E59" s="6" t="s">
        <v>312</v>
      </c>
      <c r="F59" s="6" t="s">
        <v>313</v>
      </c>
      <c r="G59" s="6" t="s">
        <v>314</v>
      </c>
      <c r="H59" s="6" t="s">
        <v>136</v>
      </c>
      <c r="I59" s="6" t="s">
        <v>137</v>
      </c>
      <c r="J59" s="6" t="s">
        <v>138</v>
      </c>
      <c r="K59" s="7"/>
    </row>
    <row r="60" customFormat="false" ht="57.75" hidden="false" customHeight="true" outlineLevel="0" collapsed="false">
      <c r="A60" s="5" t="n">
        <v>59</v>
      </c>
      <c r="B60" s="5" t="n">
        <v>9</v>
      </c>
      <c r="C60" s="5" t="s">
        <v>112</v>
      </c>
      <c r="D60" s="5" t="s">
        <v>113</v>
      </c>
      <c r="E60" s="5" t="s">
        <v>315</v>
      </c>
      <c r="F60" s="5" t="s">
        <v>316</v>
      </c>
      <c r="G60" s="5" t="s">
        <v>317</v>
      </c>
      <c r="H60" s="5" t="s">
        <v>136</v>
      </c>
      <c r="I60" s="5" t="s">
        <v>137</v>
      </c>
      <c r="J60" s="5" t="s">
        <v>154</v>
      </c>
      <c r="K60" s="7"/>
    </row>
    <row r="61" customFormat="false" ht="57.75" hidden="false" customHeight="true" outlineLevel="0" collapsed="false">
      <c r="A61" s="6" t="n">
        <v>60</v>
      </c>
      <c r="B61" s="6" t="n">
        <v>9</v>
      </c>
      <c r="C61" s="6" t="s">
        <v>112</v>
      </c>
      <c r="D61" s="6" t="s">
        <v>113</v>
      </c>
      <c r="E61" s="6" t="s">
        <v>318</v>
      </c>
      <c r="F61" s="6" t="s">
        <v>319</v>
      </c>
      <c r="G61" s="6" t="s">
        <v>320</v>
      </c>
      <c r="H61" s="6" t="s">
        <v>136</v>
      </c>
      <c r="I61" s="6" t="s">
        <v>137</v>
      </c>
      <c r="J61" s="6" t="s">
        <v>138</v>
      </c>
      <c r="K61" s="7"/>
    </row>
    <row r="62" customFormat="false" ht="57.75" hidden="false" customHeight="true" outlineLevel="0" collapsed="false">
      <c r="A62" s="5" t="n">
        <v>61</v>
      </c>
      <c r="B62" s="5" t="n">
        <v>9</v>
      </c>
      <c r="C62" s="5" t="s">
        <v>112</v>
      </c>
      <c r="D62" s="5" t="s">
        <v>113</v>
      </c>
      <c r="E62" s="5" t="s">
        <v>321</v>
      </c>
      <c r="F62" s="5" t="s">
        <v>322</v>
      </c>
      <c r="G62" s="5" t="s">
        <v>323</v>
      </c>
      <c r="H62" s="5" t="s">
        <v>136</v>
      </c>
      <c r="I62" s="5" t="s">
        <v>137</v>
      </c>
      <c r="J62" s="5" t="s">
        <v>154</v>
      </c>
      <c r="K62" s="7"/>
    </row>
    <row r="63" customFormat="false" ht="57.75" hidden="false" customHeight="true" outlineLevel="0" collapsed="false">
      <c r="A63" s="6" t="n">
        <v>62</v>
      </c>
      <c r="B63" s="6" t="n">
        <v>9</v>
      </c>
      <c r="C63" s="6" t="s">
        <v>112</v>
      </c>
      <c r="D63" s="6" t="s">
        <v>113</v>
      </c>
      <c r="E63" s="6" t="s">
        <v>324</v>
      </c>
      <c r="F63" s="6" t="s">
        <v>325</v>
      </c>
      <c r="G63" s="6" t="s">
        <v>326</v>
      </c>
      <c r="H63" s="6" t="s">
        <v>136</v>
      </c>
      <c r="I63" s="6" t="s">
        <v>137</v>
      </c>
      <c r="J63" s="6" t="s">
        <v>138</v>
      </c>
      <c r="K63" s="7"/>
    </row>
    <row r="64" customFormat="false" ht="57.75" hidden="false" customHeight="true" outlineLevel="0" collapsed="false">
      <c r="A64" s="5" t="n">
        <v>63</v>
      </c>
      <c r="B64" s="5" t="n">
        <v>9</v>
      </c>
      <c r="C64" s="5" t="s">
        <v>112</v>
      </c>
      <c r="D64" s="5" t="s">
        <v>113</v>
      </c>
      <c r="E64" s="5" t="s">
        <v>327</v>
      </c>
      <c r="F64" s="5" t="s">
        <v>328</v>
      </c>
      <c r="G64" s="5" t="s">
        <v>329</v>
      </c>
      <c r="H64" s="5" t="s">
        <v>136</v>
      </c>
      <c r="I64" s="5" t="s">
        <v>137</v>
      </c>
      <c r="J64" s="5" t="s">
        <v>154</v>
      </c>
      <c r="K64" s="7"/>
    </row>
    <row r="65" customFormat="false" ht="57.75" hidden="false" customHeight="true" outlineLevel="0" collapsed="false">
      <c r="A65" s="6" t="n">
        <v>64</v>
      </c>
      <c r="B65" s="6" t="n">
        <v>9</v>
      </c>
      <c r="C65" s="6" t="s">
        <v>112</v>
      </c>
      <c r="D65" s="6" t="s">
        <v>113</v>
      </c>
      <c r="E65" s="6" t="s">
        <v>330</v>
      </c>
      <c r="F65" s="6" t="s">
        <v>331</v>
      </c>
      <c r="G65" s="6" t="s">
        <v>332</v>
      </c>
      <c r="H65" s="6" t="s">
        <v>158</v>
      </c>
      <c r="I65" s="6" t="s">
        <v>137</v>
      </c>
      <c r="J65" s="6" t="s">
        <v>138</v>
      </c>
      <c r="K65" s="7"/>
    </row>
    <row r="66" customFormat="false" ht="57.75" hidden="false" customHeight="true" outlineLevel="0" collapsed="false">
      <c r="A66" s="5" t="n">
        <v>65</v>
      </c>
      <c r="B66" s="5" t="n">
        <v>9</v>
      </c>
      <c r="C66" s="5" t="s">
        <v>112</v>
      </c>
      <c r="D66" s="5" t="s">
        <v>113</v>
      </c>
      <c r="E66" s="5" t="s">
        <v>333</v>
      </c>
      <c r="F66" s="5" t="s">
        <v>334</v>
      </c>
      <c r="G66" s="5" t="s">
        <v>335</v>
      </c>
      <c r="H66" s="5" t="s">
        <v>136</v>
      </c>
      <c r="I66" s="5" t="s">
        <v>137</v>
      </c>
      <c r="J66" s="5" t="s">
        <v>138</v>
      </c>
      <c r="K66" s="7"/>
    </row>
    <row r="67" customFormat="false" ht="57.75" hidden="false" customHeight="true" outlineLevel="0" collapsed="false">
      <c r="A67" s="6" t="n">
        <v>66</v>
      </c>
      <c r="B67" s="6" t="n">
        <v>10</v>
      </c>
      <c r="C67" s="6" t="s">
        <v>120</v>
      </c>
      <c r="D67" s="6" t="s">
        <v>121</v>
      </c>
      <c r="E67" s="6" t="s">
        <v>336</v>
      </c>
      <c r="F67" s="6" t="s">
        <v>337</v>
      </c>
      <c r="G67" s="6" t="s">
        <v>338</v>
      </c>
      <c r="H67" s="6" t="s">
        <v>165</v>
      </c>
      <c r="I67" s="6" t="s">
        <v>137</v>
      </c>
      <c r="J67" s="6" t="s">
        <v>154</v>
      </c>
      <c r="K67" s="7"/>
    </row>
    <row r="68" customFormat="false" ht="57.75" hidden="false" customHeight="true" outlineLevel="0" collapsed="false">
      <c r="A68" s="5" t="n">
        <v>67</v>
      </c>
      <c r="B68" s="5" t="n">
        <v>10</v>
      </c>
      <c r="C68" s="5" t="s">
        <v>120</v>
      </c>
      <c r="D68" s="5" t="s">
        <v>121</v>
      </c>
      <c r="E68" s="5" t="s">
        <v>339</v>
      </c>
      <c r="F68" s="5" t="s">
        <v>340</v>
      </c>
      <c r="G68" s="5" t="s">
        <v>341</v>
      </c>
      <c r="H68" s="5" t="s">
        <v>165</v>
      </c>
      <c r="I68" s="5" t="s">
        <v>137</v>
      </c>
      <c r="J68" s="5" t="s">
        <v>154</v>
      </c>
      <c r="K68" s="7"/>
    </row>
    <row r="69" customFormat="false" ht="57.75" hidden="false" customHeight="true" outlineLevel="0" collapsed="false">
      <c r="A69" s="6" t="n">
        <v>68</v>
      </c>
      <c r="B69" s="6" t="n">
        <v>10</v>
      </c>
      <c r="C69" s="6" t="s">
        <v>120</v>
      </c>
      <c r="D69" s="6" t="s">
        <v>121</v>
      </c>
      <c r="E69" s="6" t="s">
        <v>342</v>
      </c>
      <c r="F69" s="6" t="s">
        <v>343</v>
      </c>
      <c r="G69" s="6" t="s">
        <v>344</v>
      </c>
      <c r="H69" s="6" t="s">
        <v>158</v>
      </c>
      <c r="I69" s="6" t="s">
        <v>137</v>
      </c>
      <c r="J69" s="6" t="s">
        <v>138</v>
      </c>
      <c r="K69" s="7"/>
    </row>
    <row r="70" customFormat="false" ht="57.75" hidden="false" customHeight="true" outlineLevel="0" collapsed="false">
      <c r="A70" s="5" t="n">
        <v>69</v>
      </c>
      <c r="B70" s="5" t="n">
        <v>10</v>
      </c>
      <c r="C70" s="5" t="s">
        <v>120</v>
      </c>
      <c r="D70" s="5" t="s">
        <v>121</v>
      </c>
      <c r="E70" s="5" t="s">
        <v>345</v>
      </c>
      <c r="F70" s="5" t="s">
        <v>346</v>
      </c>
      <c r="G70" s="5" t="s">
        <v>347</v>
      </c>
      <c r="H70" s="5" t="s">
        <v>136</v>
      </c>
      <c r="I70" s="5" t="s">
        <v>137</v>
      </c>
      <c r="J70" s="5" t="s">
        <v>154</v>
      </c>
      <c r="K70" s="7"/>
    </row>
    <row r="71" customFormat="false" ht="57.75" hidden="false" customHeight="true" outlineLevel="0" collapsed="false">
      <c r="A71" s="6" t="n">
        <v>70</v>
      </c>
      <c r="B71" s="6" t="n">
        <v>10</v>
      </c>
      <c r="C71" s="6" t="s">
        <v>120</v>
      </c>
      <c r="D71" s="6" t="s">
        <v>121</v>
      </c>
      <c r="E71" s="6" t="s">
        <v>348</v>
      </c>
      <c r="F71" s="6" t="s">
        <v>349</v>
      </c>
      <c r="G71" s="6" t="s">
        <v>350</v>
      </c>
      <c r="H71" s="6" t="s">
        <v>158</v>
      </c>
      <c r="I71" s="6" t="s">
        <v>137</v>
      </c>
      <c r="J71" s="6" t="s">
        <v>138</v>
      </c>
      <c r="K71" s="7"/>
    </row>
    <row r="72" customFormat="false" ht="57.75" hidden="false" customHeight="true" outlineLevel="0" collapsed="false">
      <c r="A72" s="5" t="n">
        <v>71</v>
      </c>
      <c r="B72" s="5" t="n">
        <v>10</v>
      </c>
      <c r="C72" s="5" t="s">
        <v>120</v>
      </c>
      <c r="D72" s="5" t="s">
        <v>121</v>
      </c>
      <c r="E72" s="5" t="s">
        <v>351</v>
      </c>
      <c r="F72" s="5" t="s">
        <v>352</v>
      </c>
      <c r="G72" s="5" t="s">
        <v>353</v>
      </c>
      <c r="H72" s="5" t="s">
        <v>158</v>
      </c>
      <c r="I72" s="5" t="s">
        <v>137</v>
      </c>
      <c r="J72" s="5" t="s">
        <v>138</v>
      </c>
      <c r="K72" s="7"/>
    </row>
    <row r="73" customFormat="false" ht="57.75" hidden="false" customHeight="true" outlineLevel="0" collapsed="false">
      <c r="A73" s="6" t="n">
        <v>72</v>
      </c>
      <c r="B73" s="6" t="n">
        <v>10</v>
      </c>
      <c r="C73" s="6" t="s">
        <v>120</v>
      </c>
      <c r="D73" s="6" t="s">
        <v>121</v>
      </c>
      <c r="E73" s="6" t="s">
        <v>354</v>
      </c>
      <c r="F73" s="6" t="s">
        <v>355</v>
      </c>
      <c r="G73" s="6" t="s">
        <v>356</v>
      </c>
      <c r="H73" s="6" t="s">
        <v>158</v>
      </c>
      <c r="I73" s="6" t="s">
        <v>137</v>
      </c>
      <c r="J73" s="6" t="s">
        <v>138</v>
      </c>
      <c r="K73" s="7"/>
    </row>
  </sheetData>
  <autoFilter ref="A1:K73"/>
  <dataValidations count="1">
    <dataValidation allowBlank="true" errorStyle="stop" operator="between" showDropDown="false" showErrorMessage="false" showInputMessage="false" sqref="K2:K73" type="list">
      <formula1>"Pass,Fail,Not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60"/>
  </cols>
  <sheetData>
    <row r="1" customFormat="false" ht="42" hidden="false" customHeight="true" outlineLevel="0" collapsed="false">
      <c r="A1" s="4" t="s">
        <v>357</v>
      </c>
      <c r="B1" s="4" t="s">
        <v>358</v>
      </c>
      <c r="C1" s="4" t="s">
        <v>359</v>
      </c>
      <c r="D1" s="4" t="s">
        <v>360</v>
      </c>
      <c r="E1" s="4" t="s">
        <v>361</v>
      </c>
      <c r="F1" s="4" t="s">
        <v>362</v>
      </c>
      <c r="G1" s="4" t="s">
        <v>363</v>
      </c>
      <c r="H1" s="4" t="s">
        <v>364</v>
      </c>
      <c r="I1" s="4" t="s">
        <v>365</v>
      </c>
      <c r="J1" s="4" t="s">
        <v>366</v>
      </c>
    </row>
    <row r="2" customFormat="false" ht="15" hidden="false" customHeight="false" outlineLevel="0" collapsed="false">
      <c r="A2" s="5" t="s">
        <v>367</v>
      </c>
      <c r="B2" s="5" t="s">
        <v>368</v>
      </c>
      <c r="C2" s="5" t="s">
        <v>369</v>
      </c>
      <c r="D2" s="5" t="s">
        <v>370</v>
      </c>
      <c r="E2" s="5" t="s">
        <v>371</v>
      </c>
      <c r="F2" s="5" t="s">
        <v>372</v>
      </c>
      <c r="G2" s="9" t="n">
        <v>8.06</v>
      </c>
      <c r="H2" s="5" t="n">
        <v>4.5</v>
      </c>
      <c r="I2" s="5" t="s">
        <v>373</v>
      </c>
      <c r="J2" s="5" t="str">
        <f aca="false">IF(G2&gt;=H2,"PASS","FAIL")</f>
        <v>PASS</v>
      </c>
    </row>
    <row r="3" customFormat="false" ht="15" hidden="false" customHeight="false" outlineLevel="0" collapsed="false">
      <c r="A3" s="6" t="s">
        <v>367</v>
      </c>
      <c r="B3" s="6" t="s">
        <v>374</v>
      </c>
      <c r="C3" s="6" t="s">
        <v>375</v>
      </c>
      <c r="D3" s="6" t="s">
        <v>376</v>
      </c>
      <c r="E3" s="6" t="s">
        <v>377</v>
      </c>
      <c r="F3" s="6" t="s">
        <v>372</v>
      </c>
      <c r="G3" s="10" t="n">
        <v>13.28</v>
      </c>
      <c r="H3" s="6" t="n">
        <v>4.5</v>
      </c>
      <c r="I3" s="6" t="s">
        <v>373</v>
      </c>
      <c r="J3" s="6" t="str">
        <f aca="false">IF(G3&gt;=H3,"PASS","FAIL")</f>
        <v>PASS</v>
      </c>
    </row>
    <row r="4" customFormat="false" ht="15" hidden="false" customHeight="false" outlineLevel="0" collapsed="false">
      <c r="A4" s="5" t="s">
        <v>367</v>
      </c>
      <c r="B4" s="5" t="s">
        <v>378</v>
      </c>
      <c r="C4" s="5" t="s">
        <v>369</v>
      </c>
      <c r="D4" s="5" t="s">
        <v>379</v>
      </c>
      <c r="E4" s="5" t="s">
        <v>380</v>
      </c>
      <c r="F4" s="5" t="s">
        <v>372</v>
      </c>
      <c r="G4" s="9" t="n">
        <v>8.46</v>
      </c>
      <c r="H4" s="5" t="n">
        <v>4.5</v>
      </c>
      <c r="I4" s="5" t="s">
        <v>373</v>
      </c>
      <c r="J4" s="5" t="str">
        <f aca="false">IF(G4&gt;=H4,"PASS","FAIL")</f>
        <v>PASS</v>
      </c>
    </row>
    <row r="5" customFormat="false" ht="15" hidden="false" customHeight="false" outlineLevel="0" collapsed="false">
      <c r="A5" s="6" t="s">
        <v>367</v>
      </c>
      <c r="B5" s="6" t="s">
        <v>381</v>
      </c>
      <c r="C5" s="6" t="s">
        <v>382</v>
      </c>
      <c r="D5" s="6" t="s">
        <v>383</v>
      </c>
      <c r="E5" s="6" t="s">
        <v>384</v>
      </c>
      <c r="F5" s="6" t="s">
        <v>372</v>
      </c>
      <c r="G5" s="10" t="n">
        <v>13.14</v>
      </c>
      <c r="H5" s="6" t="n">
        <v>4.5</v>
      </c>
      <c r="I5" s="6" t="s">
        <v>373</v>
      </c>
      <c r="J5" s="6" t="str">
        <f aca="false">IF(G5&gt;=H5,"PASS","FAIL")</f>
        <v>PASS</v>
      </c>
    </row>
    <row r="6" customFormat="false" ht="15" hidden="false" customHeight="false" outlineLevel="0" collapsed="false">
      <c r="A6" s="5" t="s">
        <v>367</v>
      </c>
      <c r="B6" s="5" t="s">
        <v>385</v>
      </c>
      <c r="C6" s="5" t="s">
        <v>369</v>
      </c>
      <c r="D6" s="5" t="s">
        <v>386</v>
      </c>
      <c r="E6" s="5" t="s">
        <v>387</v>
      </c>
      <c r="F6" s="5" t="s">
        <v>372</v>
      </c>
      <c r="G6" s="9" t="n">
        <v>8.39</v>
      </c>
      <c r="H6" s="5" t="n">
        <v>4.5</v>
      </c>
      <c r="I6" s="5" t="s">
        <v>373</v>
      </c>
      <c r="J6" s="5" t="str">
        <f aca="false">IF(G6&gt;=H6,"PASS","FAIL")</f>
        <v>PASS</v>
      </c>
    </row>
    <row r="7" customFormat="false" ht="15" hidden="false" customHeight="false" outlineLevel="0" collapsed="false">
      <c r="A7" s="6" t="s">
        <v>367</v>
      </c>
      <c r="B7" s="6" t="s">
        <v>388</v>
      </c>
      <c r="C7" s="6" t="s">
        <v>389</v>
      </c>
      <c r="D7" s="6" t="s">
        <v>390</v>
      </c>
      <c r="E7" s="6" t="s">
        <v>391</v>
      </c>
      <c r="F7" s="6" t="s">
        <v>372</v>
      </c>
      <c r="G7" s="10" t="n">
        <v>13.31</v>
      </c>
      <c r="H7" s="6" t="n">
        <v>4.5</v>
      </c>
      <c r="I7" s="6" t="s">
        <v>373</v>
      </c>
      <c r="J7" s="6" t="str">
        <f aca="false">IF(G7&gt;=H7,"PASS","FAIL")</f>
        <v>PASS</v>
      </c>
    </row>
    <row r="8" customFormat="false" ht="15" hidden="false" customHeight="false" outlineLevel="0" collapsed="false">
      <c r="A8" s="5" t="s">
        <v>367</v>
      </c>
      <c r="B8" s="5" t="s">
        <v>392</v>
      </c>
      <c r="C8" s="5" t="s">
        <v>369</v>
      </c>
      <c r="D8" s="5" t="s">
        <v>393</v>
      </c>
      <c r="E8" s="5" t="s">
        <v>394</v>
      </c>
      <c r="F8" s="5" t="s">
        <v>372</v>
      </c>
      <c r="G8" s="9" t="n">
        <v>6.54</v>
      </c>
      <c r="H8" s="5" t="n">
        <v>4.5</v>
      </c>
      <c r="I8" s="5" t="s">
        <v>395</v>
      </c>
      <c r="J8" s="5" t="str">
        <f aca="false">IF(G8&gt;=H8,"PASS","FAIL")</f>
        <v>PASS</v>
      </c>
    </row>
    <row r="9" customFormat="false" ht="15" hidden="false" customHeight="false" outlineLevel="0" collapsed="false">
      <c r="A9" s="6" t="s">
        <v>367</v>
      </c>
      <c r="B9" s="6" t="s">
        <v>396</v>
      </c>
      <c r="C9" s="6" t="s">
        <v>397</v>
      </c>
      <c r="D9" s="6" t="s">
        <v>398</v>
      </c>
      <c r="E9" s="6" t="s">
        <v>399</v>
      </c>
      <c r="F9" s="6" t="s">
        <v>372</v>
      </c>
      <c r="G9" s="10" t="n">
        <v>12.77</v>
      </c>
      <c r="H9" s="6" t="n">
        <v>4.5</v>
      </c>
      <c r="I9" s="6" t="s">
        <v>373</v>
      </c>
      <c r="J9" s="6" t="str">
        <f aca="false">IF(G9&gt;=H9,"PASS","FAIL")</f>
        <v>PASS</v>
      </c>
    </row>
    <row r="10" customFormat="false" ht="15" hidden="false" customHeight="false" outlineLevel="0" collapsed="false">
      <c r="A10" s="5" t="s">
        <v>367</v>
      </c>
      <c r="B10" s="5" t="s">
        <v>400</v>
      </c>
      <c r="C10" s="5" t="s">
        <v>401</v>
      </c>
      <c r="D10" s="5" t="s">
        <v>402</v>
      </c>
      <c r="E10" s="5" t="s">
        <v>403</v>
      </c>
      <c r="F10" s="5" t="s">
        <v>372</v>
      </c>
      <c r="G10" s="9" t="n">
        <v>16.63</v>
      </c>
      <c r="H10" s="5" t="n">
        <v>4.5</v>
      </c>
      <c r="I10" s="5" t="s">
        <v>373</v>
      </c>
      <c r="J10" s="5" t="str">
        <f aca="false">IF(G10&gt;=H10,"PASS","FAIL")</f>
        <v>PASS</v>
      </c>
    </row>
    <row r="11" customFormat="false" ht="15" hidden="false" customHeight="false" outlineLevel="0" collapsed="false">
      <c r="A11" s="6" t="s">
        <v>367</v>
      </c>
      <c r="B11" s="6" t="s">
        <v>404</v>
      </c>
      <c r="C11" s="6" t="s">
        <v>405</v>
      </c>
      <c r="D11" s="6" t="s">
        <v>402</v>
      </c>
      <c r="E11" s="6" t="s">
        <v>403</v>
      </c>
      <c r="F11" s="6" t="s">
        <v>372</v>
      </c>
      <c r="G11" s="10" t="n">
        <v>9.15</v>
      </c>
      <c r="H11" s="6" t="n">
        <v>4.5</v>
      </c>
      <c r="I11" s="6" t="s">
        <v>373</v>
      </c>
      <c r="J11" s="6" t="str">
        <f aca="false">IF(G11&gt;=H11,"PASS","FAIL")</f>
        <v>PASS</v>
      </c>
    </row>
    <row r="12" customFormat="false" ht="15" hidden="false" customHeight="false" outlineLevel="0" collapsed="false">
      <c r="A12" s="5" t="s">
        <v>367</v>
      </c>
      <c r="B12" s="5" t="s">
        <v>400</v>
      </c>
      <c r="C12" s="5" t="s">
        <v>401</v>
      </c>
      <c r="D12" s="5" t="s">
        <v>406</v>
      </c>
      <c r="E12" s="5" t="s">
        <v>369</v>
      </c>
      <c r="F12" s="5" t="s">
        <v>372</v>
      </c>
      <c r="G12" s="9" t="n">
        <v>17.09</v>
      </c>
      <c r="H12" s="5" t="n">
        <v>4.5</v>
      </c>
      <c r="I12" s="5" t="s">
        <v>373</v>
      </c>
      <c r="J12" s="5" t="str">
        <f aca="false">IF(G12&gt;=H12,"PASS","FAIL")</f>
        <v>PASS</v>
      </c>
    </row>
    <row r="13" customFormat="false" ht="15" hidden="false" customHeight="false" outlineLevel="0" collapsed="false">
      <c r="A13" s="6" t="s">
        <v>367</v>
      </c>
      <c r="B13" s="6" t="s">
        <v>400</v>
      </c>
      <c r="C13" s="6" t="s">
        <v>401</v>
      </c>
      <c r="D13" s="6" t="s">
        <v>407</v>
      </c>
      <c r="E13" s="6" t="s">
        <v>408</v>
      </c>
      <c r="F13" s="6" t="s">
        <v>372</v>
      </c>
      <c r="G13" s="10" t="n">
        <v>15.74</v>
      </c>
      <c r="H13" s="6" t="n">
        <v>4.5</v>
      </c>
      <c r="I13" s="6" t="s">
        <v>373</v>
      </c>
      <c r="J13" s="6" t="str">
        <f aca="false">IF(G13&gt;=H13,"PASS","FAIL")</f>
        <v>PASS</v>
      </c>
    </row>
    <row r="14" customFormat="false" ht="15" hidden="false" customHeight="false" outlineLevel="0" collapsed="false">
      <c r="A14" s="5" t="s">
        <v>367</v>
      </c>
      <c r="B14" s="5" t="s">
        <v>400</v>
      </c>
      <c r="C14" s="5" t="s">
        <v>401</v>
      </c>
      <c r="D14" s="5" t="s">
        <v>409</v>
      </c>
      <c r="E14" s="5" t="s">
        <v>410</v>
      </c>
      <c r="F14" s="5" t="s">
        <v>372</v>
      </c>
      <c r="G14" s="9" t="n">
        <v>14.93</v>
      </c>
      <c r="H14" s="5" t="n">
        <v>4.5</v>
      </c>
      <c r="I14" s="5" t="s">
        <v>373</v>
      </c>
      <c r="J14" s="5" t="str">
        <f aca="false">IF(G14&gt;=H14,"PASS","FAIL")</f>
        <v>PASS</v>
      </c>
    </row>
    <row r="15" customFormat="false" ht="15" hidden="false" customHeight="false" outlineLevel="0" collapsed="false">
      <c r="A15" s="6" t="s">
        <v>367</v>
      </c>
      <c r="B15" s="6" t="s">
        <v>400</v>
      </c>
      <c r="C15" s="6" t="s">
        <v>401</v>
      </c>
      <c r="D15" s="6" t="s">
        <v>411</v>
      </c>
      <c r="E15" s="6" t="s">
        <v>412</v>
      </c>
      <c r="F15" s="6" t="s">
        <v>372</v>
      </c>
      <c r="G15" s="10" t="n">
        <v>14.14</v>
      </c>
      <c r="H15" s="6" t="n">
        <v>4.5</v>
      </c>
      <c r="I15" s="6" t="s">
        <v>373</v>
      </c>
      <c r="J15" s="6" t="str">
        <f aca="false">IF(G15&gt;=H15,"PASS","FAIL")</f>
        <v>PASS</v>
      </c>
    </row>
    <row r="16" customFormat="false" ht="15" hidden="false" customHeight="false" outlineLevel="0" collapsed="false">
      <c r="A16" s="5" t="s">
        <v>367</v>
      </c>
      <c r="B16" s="5" t="s">
        <v>400</v>
      </c>
      <c r="C16" s="5" t="s">
        <v>401</v>
      </c>
      <c r="D16" s="5" t="s">
        <v>413</v>
      </c>
      <c r="E16" s="5" t="s">
        <v>414</v>
      </c>
      <c r="F16" s="5" t="s">
        <v>372</v>
      </c>
      <c r="G16" s="9" t="n">
        <v>13.39</v>
      </c>
      <c r="H16" s="5" t="n">
        <v>4.5</v>
      </c>
      <c r="I16" s="5" t="s">
        <v>373</v>
      </c>
      <c r="J16" s="5" t="str">
        <f aca="false">IF(G16&gt;=H16,"PASS","FAIL")</f>
        <v>PASS</v>
      </c>
    </row>
    <row r="17" customFormat="false" ht="15" hidden="false" customHeight="false" outlineLevel="0" collapsed="false">
      <c r="A17" s="6" t="s">
        <v>367</v>
      </c>
      <c r="B17" s="6" t="s">
        <v>415</v>
      </c>
      <c r="C17" s="6" t="s">
        <v>416</v>
      </c>
      <c r="D17" s="6" t="s">
        <v>417</v>
      </c>
      <c r="E17" s="6" t="s">
        <v>418</v>
      </c>
      <c r="F17" s="6" t="s">
        <v>372</v>
      </c>
      <c r="G17" s="10" t="n">
        <v>11.6</v>
      </c>
      <c r="H17" s="6" t="n">
        <v>4.5</v>
      </c>
      <c r="I17" s="6" t="s">
        <v>373</v>
      </c>
      <c r="J17" s="6" t="str">
        <f aca="false">IF(G17&gt;=H17,"PASS","FAIL")</f>
        <v>PASS</v>
      </c>
    </row>
    <row r="18" customFormat="false" ht="15" hidden="false" customHeight="false" outlineLevel="0" collapsed="false">
      <c r="A18" s="5" t="s">
        <v>367</v>
      </c>
      <c r="B18" s="5" t="s">
        <v>419</v>
      </c>
      <c r="C18" s="5" t="s">
        <v>420</v>
      </c>
      <c r="D18" s="5" t="s">
        <v>402</v>
      </c>
      <c r="E18" s="5" t="s">
        <v>403</v>
      </c>
      <c r="F18" s="5" t="s">
        <v>421</v>
      </c>
      <c r="G18" s="9" t="n">
        <v>4.36</v>
      </c>
      <c r="H18" s="5" t="n">
        <v>3</v>
      </c>
      <c r="I18" s="5" t="s">
        <v>395</v>
      </c>
      <c r="J18" s="5" t="str">
        <f aca="false">IF(G18&gt;=H18,"PASS","FAIL")</f>
        <v>PASS</v>
      </c>
    </row>
    <row r="19" customFormat="false" ht="15" hidden="false" customHeight="false" outlineLevel="0" collapsed="false">
      <c r="A19" s="6" t="s">
        <v>367</v>
      </c>
      <c r="B19" s="6" t="s">
        <v>370</v>
      </c>
      <c r="C19" s="6" t="s">
        <v>371</v>
      </c>
      <c r="D19" s="6" t="s">
        <v>402</v>
      </c>
      <c r="E19" s="6" t="s">
        <v>403</v>
      </c>
      <c r="F19" s="6" t="s">
        <v>421</v>
      </c>
      <c r="G19" s="10" t="n">
        <v>7.85</v>
      </c>
      <c r="H19" s="6" t="n">
        <v>3</v>
      </c>
      <c r="I19" s="6" t="s">
        <v>373</v>
      </c>
      <c r="J19" s="6" t="str">
        <f aca="false">IF(G19&gt;=H19,"PASS","FAIL")</f>
        <v>PASS</v>
      </c>
    </row>
    <row r="20" customFormat="false" ht="15" hidden="false" customHeight="false" outlineLevel="0" collapsed="false">
      <c r="A20" s="5" t="s">
        <v>422</v>
      </c>
      <c r="B20" s="5" t="s">
        <v>368</v>
      </c>
      <c r="C20" s="5" t="s">
        <v>423</v>
      </c>
      <c r="D20" s="5" t="s">
        <v>370</v>
      </c>
      <c r="E20" s="5" t="s">
        <v>424</v>
      </c>
      <c r="F20" s="5" t="s">
        <v>372</v>
      </c>
      <c r="G20" s="9" t="n">
        <v>7.75</v>
      </c>
      <c r="H20" s="5" t="n">
        <v>4.5</v>
      </c>
      <c r="I20" s="5" t="s">
        <v>373</v>
      </c>
      <c r="J20" s="5" t="str">
        <f aca="false">IF(G20&gt;=H20,"PASS","FAIL")</f>
        <v>PASS</v>
      </c>
    </row>
    <row r="21" customFormat="false" ht="15" hidden="false" customHeight="false" outlineLevel="0" collapsed="false">
      <c r="A21" s="6" t="s">
        <v>422</v>
      </c>
      <c r="B21" s="6" t="s">
        <v>374</v>
      </c>
      <c r="C21" s="6" t="s">
        <v>377</v>
      </c>
      <c r="D21" s="6" t="s">
        <v>376</v>
      </c>
      <c r="E21" s="6" t="s">
        <v>425</v>
      </c>
      <c r="F21" s="6" t="s">
        <v>372</v>
      </c>
      <c r="G21" s="10" t="n">
        <v>7.25</v>
      </c>
      <c r="H21" s="6" t="n">
        <v>4.5</v>
      </c>
      <c r="I21" s="6" t="s">
        <v>373</v>
      </c>
      <c r="J21" s="6" t="str">
        <f aca="false">IF(G21&gt;=H21,"PASS","FAIL")</f>
        <v>PASS</v>
      </c>
    </row>
    <row r="22" customFormat="false" ht="15" hidden="false" customHeight="false" outlineLevel="0" collapsed="false">
      <c r="A22" s="5" t="s">
        <v>422</v>
      </c>
      <c r="B22" s="5" t="s">
        <v>378</v>
      </c>
      <c r="C22" s="5" t="s">
        <v>426</v>
      </c>
      <c r="D22" s="5" t="s">
        <v>379</v>
      </c>
      <c r="E22" s="5" t="s">
        <v>427</v>
      </c>
      <c r="F22" s="5" t="s">
        <v>372</v>
      </c>
      <c r="G22" s="9" t="n">
        <v>7.64</v>
      </c>
      <c r="H22" s="5" t="n">
        <v>4.5</v>
      </c>
      <c r="I22" s="5" t="s">
        <v>373</v>
      </c>
      <c r="J22" s="5" t="str">
        <f aca="false">IF(G22&gt;=H22,"PASS","FAIL")</f>
        <v>PASS</v>
      </c>
    </row>
    <row r="23" customFormat="false" ht="15" hidden="false" customHeight="false" outlineLevel="0" collapsed="false">
      <c r="A23" s="6" t="s">
        <v>422</v>
      </c>
      <c r="B23" s="6" t="s">
        <v>381</v>
      </c>
      <c r="C23" s="6" t="s">
        <v>384</v>
      </c>
      <c r="D23" s="6" t="s">
        <v>383</v>
      </c>
      <c r="E23" s="6" t="s">
        <v>428</v>
      </c>
      <c r="F23" s="6" t="s">
        <v>372</v>
      </c>
      <c r="G23" s="10" t="n">
        <v>7.18</v>
      </c>
      <c r="H23" s="6" t="n">
        <v>4.5</v>
      </c>
      <c r="I23" s="6" t="s">
        <v>373</v>
      </c>
      <c r="J23" s="6" t="str">
        <f aca="false">IF(G23&gt;=H23,"PASS","FAIL")</f>
        <v>PASS</v>
      </c>
    </row>
    <row r="24" customFormat="false" ht="15" hidden="false" customHeight="false" outlineLevel="0" collapsed="false">
      <c r="A24" s="5" t="s">
        <v>422</v>
      </c>
      <c r="B24" s="5" t="s">
        <v>385</v>
      </c>
      <c r="C24" s="5" t="s">
        <v>429</v>
      </c>
      <c r="D24" s="5" t="s">
        <v>386</v>
      </c>
      <c r="E24" s="5" t="s">
        <v>430</v>
      </c>
      <c r="F24" s="5" t="s">
        <v>372</v>
      </c>
      <c r="G24" s="9" t="n">
        <v>7.73</v>
      </c>
      <c r="H24" s="5" t="n">
        <v>4.5</v>
      </c>
      <c r="I24" s="5" t="s">
        <v>373</v>
      </c>
      <c r="J24" s="5" t="str">
        <f aca="false">IF(G24&gt;=H24,"PASS","FAIL")</f>
        <v>PASS</v>
      </c>
    </row>
    <row r="25" customFormat="false" ht="15" hidden="false" customHeight="false" outlineLevel="0" collapsed="false">
      <c r="A25" s="6" t="s">
        <v>422</v>
      </c>
      <c r="B25" s="6" t="s">
        <v>388</v>
      </c>
      <c r="C25" s="6" t="s">
        <v>391</v>
      </c>
      <c r="D25" s="6" t="s">
        <v>390</v>
      </c>
      <c r="E25" s="6" t="s">
        <v>431</v>
      </c>
      <c r="F25" s="6" t="s">
        <v>372</v>
      </c>
      <c r="G25" s="10" t="n">
        <v>7.28</v>
      </c>
      <c r="H25" s="6" t="n">
        <v>4.5</v>
      </c>
      <c r="I25" s="6" t="s">
        <v>373</v>
      </c>
      <c r="J25" s="6" t="str">
        <f aca="false">IF(G25&gt;=H25,"PASS","FAIL")</f>
        <v>PASS</v>
      </c>
    </row>
    <row r="26" customFormat="false" ht="15" hidden="false" customHeight="false" outlineLevel="0" collapsed="false">
      <c r="A26" s="5" t="s">
        <v>422</v>
      </c>
      <c r="B26" s="5" t="s">
        <v>392</v>
      </c>
      <c r="C26" s="5" t="s">
        <v>432</v>
      </c>
      <c r="D26" s="5" t="s">
        <v>393</v>
      </c>
      <c r="E26" s="5" t="s">
        <v>433</v>
      </c>
      <c r="F26" s="5" t="s">
        <v>372</v>
      </c>
      <c r="G26" s="9" t="n">
        <v>7.72</v>
      </c>
      <c r="H26" s="5" t="n">
        <v>4.5</v>
      </c>
      <c r="I26" s="5" t="s">
        <v>373</v>
      </c>
      <c r="J26" s="5" t="str">
        <f aca="false">IF(G26&gt;=H26,"PASS","FAIL")</f>
        <v>PASS</v>
      </c>
    </row>
    <row r="27" customFormat="false" ht="15" hidden="false" customHeight="false" outlineLevel="0" collapsed="false">
      <c r="A27" s="6" t="s">
        <v>422</v>
      </c>
      <c r="B27" s="6" t="s">
        <v>396</v>
      </c>
      <c r="C27" s="6" t="s">
        <v>434</v>
      </c>
      <c r="D27" s="6" t="s">
        <v>398</v>
      </c>
      <c r="E27" s="6" t="s">
        <v>435</v>
      </c>
      <c r="F27" s="6" t="s">
        <v>372</v>
      </c>
      <c r="G27" s="10" t="n">
        <v>7.24</v>
      </c>
      <c r="H27" s="6" t="n">
        <v>4.5</v>
      </c>
      <c r="I27" s="6" t="s">
        <v>373</v>
      </c>
      <c r="J27" s="6" t="str">
        <f aca="false">IF(G27&gt;=H27,"PASS","FAIL")</f>
        <v>PASS</v>
      </c>
    </row>
    <row r="28" customFormat="false" ht="15" hidden="false" customHeight="false" outlineLevel="0" collapsed="false">
      <c r="A28" s="5" t="s">
        <v>422</v>
      </c>
      <c r="B28" s="5" t="s">
        <v>400</v>
      </c>
      <c r="C28" s="5" t="s">
        <v>436</v>
      </c>
      <c r="D28" s="5" t="s">
        <v>402</v>
      </c>
      <c r="E28" s="5" t="s">
        <v>437</v>
      </c>
      <c r="F28" s="5" t="s">
        <v>372</v>
      </c>
      <c r="G28" s="9" t="n">
        <v>14.34</v>
      </c>
      <c r="H28" s="5" t="n">
        <v>4.5</v>
      </c>
      <c r="I28" s="5" t="s">
        <v>373</v>
      </c>
      <c r="J28" s="5" t="str">
        <f aca="false">IF(G28&gt;=H28,"PASS","FAIL")</f>
        <v>PASS</v>
      </c>
    </row>
    <row r="29" customFormat="false" ht="15" hidden="false" customHeight="false" outlineLevel="0" collapsed="false">
      <c r="A29" s="6" t="s">
        <v>422</v>
      </c>
      <c r="B29" s="6" t="s">
        <v>404</v>
      </c>
      <c r="C29" s="6" t="s">
        <v>438</v>
      </c>
      <c r="D29" s="6" t="s">
        <v>402</v>
      </c>
      <c r="E29" s="6" t="s">
        <v>437</v>
      </c>
      <c r="F29" s="6" t="s">
        <v>372</v>
      </c>
      <c r="G29" s="10" t="n">
        <v>10.87</v>
      </c>
      <c r="H29" s="6" t="n">
        <v>4.5</v>
      </c>
      <c r="I29" s="6" t="s">
        <v>373</v>
      </c>
      <c r="J29" s="6" t="str">
        <f aca="false">IF(G29&gt;=H29,"PASS","FAIL")</f>
        <v>PASS</v>
      </c>
    </row>
    <row r="30" customFormat="false" ht="15" hidden="false" customHeight="false" outlineLevel="0" collapsed="false">
      <c r="A30" s="5" t="s">
        <v>422</v>
      </c>
      <c r="B30" s="5" t="s">
        <v>400</v>
      </c>
      <c r="C30" s="5" t="s">
        <v>436</v>
      </c>
      <c r="D30" s="5" t="s">
        <v>406</v>
      </c>
      <c r="E30" s="5" t="s">
        <v>437</v>
      </c>
      <c r="F30" s="5" t="s">
        <v>372</v>
      </c>
      <c r="G30" s="9" t="n">
        <v>14.34</v>
      </c>
      <c r="H30" s="5" t="n">
        <v>4.5</v>
      </c>
      <c r="I30" s="5" t="s">
        <v>373</v>
      </c>
      <c r="J30" s="5" t="str">
        <f aca="false">IF(G30&gt;=H30,"PASS","FAIL")</f>
        <v>PASS</v>
      </c>
    </row>
    <row r="31" customFormat="false" ht="15" hidden="false" customHeight="false" outlineLevel="0" collapsed="false">
      <c r="A31" s="6" t="s">
        <v>422</v>
      </c>
      <c r="B31" s="6" t="s">
        <v>400</v>
      </c>
      <c r="C31" s="6" t="s">
        <v>436</v>
      </c>
      <c r="D31" s="6" t="s">
        <v>407</v>
      </c>
      <c r="E31" s="6" t="s">
        <v>439</v>
      </c>
      <c r="F31" s="6" t="s">
        <v>372</v>
      </c>
      <c r="G31" s="10" t="n">
        <v>13.16</v>
      </c>
      <c r="H31" s="6" t="n">
        <v>4.5</v>
      </c>
      <c r="I31" s="6" t="s">
        <v>373</v>
      </c>
      <c r="J31" s="6" t="str">
        <f aca="false">IF(G31&gt;=H31,"PASS","FAIL")</f>
        <v>PASS</v>
      </c>
    </row>
    <row r="32" customFormat="false" ht="15" hidden="false" customHeight="false" outlineLevel="0" collapsed="false">
      <c r="A32" s="5" t="s">
        <v>422</v>
      </c>
      <c r="B32" s="5" t="s">
        <v>400</v>
      </c>
      <c r="C32" s="5" t="s">
        <v>436</v>
      </c>
      <c r="D32" s="5" t="s">
        <v>409</v>
      </c>
      <c r="E32" s="5" t="s">
        <v>440</v>
      </c>
      <c r="F32" s="5" t="s">
        <v>372</v>
      </c>
      <c r="G32" s="9" t="n">
        <v>12.32</v>
      </c>
      <c r="H32" s="5" t="n">
        <v>4.5</v>
      </c>
      <c r="I32" s="5" t="s">
        <v>373</v>
      </c>
      <c r="J32" s="5" t="str">
        <f aca="false">IF(G32&gt;=H32,"PASS","FAIL")</f>
        <v>PASS</v>
      </c>
    </row>
    <row r="33" customFormat="false" ht="15" hidden="false" customHeight="false" outlineLevel="0" collapsed="false">
      <c r="A33" s="6" t="s">
        <v>422</v>
      </c>
      <c r="B33" s="6" t="s">
        <v>400</v>
      </c>
      <c r="C33" s="6" t="s">
        <v>436</v>
      </c>
      <c r="D33" s="6" t="s">
        <v>411</v>
      </c>
      <c r="E33" s="6" t="s">
        <v>441</v>
      </c>
      <c r="F33" s="6" t="s">
        <v>372</v>
      </c>
      <c r="G33" s="10" t="n">
        <v>11.57</v>
      </c>
      <c r="H33" s="6" t="n">
        <v>4.5</v>
      </c>
      <c r="I33" s="6" t="s">
        <v>373</v>
      </c>
      <c r="J33" s="6" t="str">
        <f aca="false">IF(G33&gt;=H33,"PASS","FAIL")</f>
        <v>PASS</v>
      </c>
    </row>
    <row r="34" customFormat="false" ht="15" hidden="false" customHeight="false" outlineLevel="0" collapsed="false">
      <c r="A34" s="5" t="s">
        <v>422</v>
      </c>
      <c r="B34" s="5" t="s">
        <v>400</v>
      </c>
      <c r="C34" s="5" t="s">
        <v>436</v>
      </c>
      <c r="D34" s="5" t="s">
        <v>413</v>
      </c>
      <c r="E34" s="5" t="s">
        <v>442</v>
      </c>
      <c r="F34" s="5" t="s">
        <v>372</v>
      </c>
      <c r="G34" s="9" t="n">
        <v>11.27</v>
      </c>
      <c r="H34" s="5" t="n">
        <v>4.5</v>
      </c>
      <c r="I34" s="5" t="s">
        <v>373</v>
      </c>
      <c r="J34" s="5" t="str">
        <f aca="false">IF(G34&gt;=H34,"PASS","FAIL")</f>
        <v>PASS</v>
      </c>
    </row>
    <row r="35" customFormat="false" ht="15" hidden="false" customHeight="false" outlineLevel="0" collapsed="false">
      <c r="A35" s="6" t="s">
        <v>422</v>
      </c>
      <c r="B35" s="6" t="s">
        <v>415</v>
      </c>
      <c r="C35" s="6" t="s">
        <v>418</v>
      </c>
      <c r="D35" s="6" t="s">
        <v>417</v>
      </c>
      <c r="E35" s="6" t="s">
        <v>436</v>
      </c>
      <c r="F35" s="6" t="s">
        <v>372</v>
      </c>
      <c r="G35" s="10" t="n">
        <v>10.14</v>
      </c>
      <c r="H35" s="6" t="n">
        <v>4.5</v>
      </c>
      <c r="I35" s="6" t="s">
        <v>373</v>
      </c>
      <c r="J35" s="6" t="str">
        <f aca="false">IF(G35&gt;=H35,"PASS","FAIL")</f>
        <v>PASS</v>
      </c>
    </row>
    <row r="36" customFormat="false" ht="15" hidden="false" customHeight="false" outlineLevel="0" collapsed="false">
      <c r="A36" s="5" t="s">
        <v>422</v>
      </c>
      <c r="B36" s="5" t="s">
        <v>419</v>
      </c>
      <c r="C36" s="5" t="s">
        <v>443</v>
      </c>
      <c r="D36" s="5" t="s">
        <v>402</v>
      </c>
      <c r="E36" s="5" t="s">
        <v>437</v>
      </c>
      <c r="F36" s="5" t="s">
        <v>421</v>
      </c>
      <c r="G36" s="9" t="n">
        <v>5.82</v>
      </c>
      <c r="H36" s="5" t="n">
        <v>3</v>
      </c>
      <c r="I36" s="5" t="s">
        <v>373</v>
      </c>
      <c r="J36" s="5" t="str">
        <f aca="false">IF(G36&gt;=H36,"PASS","FAIL")</f>
        <v>PASS</v>
      </c>
    </row>
    <row r="37" customFormat="false" ht="15" hidden="false" customHeight="false" outlineLevel="0" collapsed="false">
      <c r="A37" s="6" t="s">
        <v>422</v>
      </c>
      <c r="B37" s="6" t="s">
        <v>370</v>
      </c>
      <c r="C37" s="6" t="s">
        <v>424</v>
      </c>
      <c r="D37" s="6" t="s">
        <v>402</v>
      </c>
      <c r="E37" s="6" t="s">
        <v>437</v>
      </c>
      <c r="F37" s="6" t="s">
        <v>421</v>
      </c>
      <c r="G37" s="10" t="n">
        <v>10.92</v>
      </c>
      <c r="H37" s="6" t="n">
        <v>3</v>
      </c>
      <c r="I37" s="6" t="s">
        <v>373</v>
      </c>
      <c r="J37" s="6" t="str">
        <f aca="false">IF(G37&gt;=H37,"PASS","FAIL")</f>
        <v>PASS</v>
      </c>
    </row>
    <row r="38" customFormat="false" ht="15" hidden="false" customHeight="false" outlineLevel="0" collapsed="false">
      <c r="A38" s="5" t="s">
        <v>422</v>
      </c>
      <c r="B38" s="5" t="s">
        <v>400</v>
      </c>
      <c r="C38" s="5" t="s">
        <v>436</v>
      </c>
      <c r="D38" s="5" t="s">
        <v>444</v>
      </c>
      <c r="E38" s="5" t="s">
        <v>437</v>
      </c>
      <c r="F38" s="5" t="s">
        <v>445</v>
      </c>
      <c r="G38" s="9" t="n">
        <v>14.34</v>
      </c>
      <c r="H38" s="5" t="n">
        <v>4.5</v>
      </c>
      <c r="I38" s="5" t="s">
        <v>373</v>
      </c>
      <c r="J38" s="5" t="str">
        <f aca="false">IF(G38&gt;=H38,"PASS","FAIL")</f>
        <v>PASS</v>
      </c>
    </row>
    <row r="39" customFormat="false" ht="15" hidden="false" customHeight="false" outlineLevel="0" collapsed="false">
      <c r="A39" s="6" t="s">
        <v>422</v>
      </c>
      <c r="B39" s="6" t="s">
        <v>400</v>
      </c>
      <c r="C39" s="6" t="s">
        <v>436</v>
      </c>
      <c r="D39" s="6" t="s">
        <v>446</v>
      </c>
      <c r="E39" s="6" t="s">
        <v>439</v>
      </c>
      <c r="F39" s="6" t="s">
        <v>445</v>
      </c>
      <c r="G39" s="10" t="n">
        <v>13.16</v>
      </c>
      <c r="H39" s="6" t="n">
        <v>4.5</v>
      </c>
      <c r="I39" s="6" t="s">
        <v>373</v>
      </c>
      <c r="J39" s="6" t="str">
        <f aca="false">IF(G39&gt;=H39,"PASS","FAIL")</f>
        <v>PASS</v>
      </c>
    </row>
    <row r="40" customFormat="false" ht="15" hidden="false" customHeight="false" outlineLevel="0" collapsed="false">
      <c r="A40" s="5" t="s">
        <v>422</v>
      </c>
      <c r="B40" s="5" t="s">
        <v>400</v>
      </c>
      <c r="C40" s="5" t="s">
        <v>436</v>
      </c>
      <c r="D40" s="5" t="s">
        <v>447</v>
      </c>
      <c r="E40" s="5" t="s">
        <v>440</v>
      </c>
      <c r="F40" s="5" t="s">
        <v>445</v>
      </c>
      <c r="G40" s="9" t="n">
        <v>12.32</v>
      </c>
      <c r="H40" s="5" t="n">
        <v>4.5</v>
      </c>
      <c r="I40" s="5" t="s">
        <v>373</v>
      </c>
      <c r="J40" s="5" t="str">
        <f aca="false">IF(G40&gt;=H40,"PASS","FAIL")</f>
        <v>PASS</v>
      </c>
    </row>
    <row r="41" customFormat="false" ht="15" hidden="false" customHeight="false" outlineLevel="0" collapsed="false">
      <c r="A41" s="6" t="s">
        <v>422</v>
      </c>
      <c r="B41" s="6" t="s">
        <v>400</v>
      </c>
      <c r="C41" s="6" t="s">
        <v>436</v>
      </c>
      <c r="D41" s="6" t="s">
        <v>448</v>
      </c>
      <c r="E41" s="6" t="s">
        <v>441</v>
      </c>
      <c r="F41" s="6" t="s">
        <v>445</v>
      </c>
      <c r="G41" s="10" t="n">
        <v>11.57</v>
      </c>
      <c r="H41" s="6" t="n">
        <v>4.5</v>
      </c>
      <c r="I41" s="6" t="s">
        <v>373</v>
      </c>
      <c r="J41" s="6" t="str">
        <f aca="false">IF(G41&gt;=H41,"PASS","FAIL")</f>
        <v>PASS</v>
      </c>
    </row>
    <row r="42" customFormat="false" ht="15" hidden="false" customHeight="false" outlineLevel="0" collapsed="false">
      <c r="A42" s="5" t="s">
        <v>422</v>
      </c>
      <c r="B42" s="5" t="s">
        <v>400</v>
      </c>
      <c r="C42" s="5" t="s">
        <v>436</v>
      </c>
      <c r="D42" s="5" t="s">
        <v>449</v>
      </c>
      <c r="E42" s="5" t="s">
        <v>442</v>
      </c>
      <c r="F42" s="5" t="s">
        <v>445</v>
      </c>
      <c r="G42" s="9" t="n">
        <v>11.27</v>
      </c>
      <c r="H42" s="5" t="n">
        <v>4.5</v>
      </c>
      <c r="I42" s="5" t="s">
        <v>373</v>
      </c>
      <c r="J42" s="5" t="str">
        <f aca="false">IF(G42&gt;=H42,"PASS","FAIL")</f>
        <v>PASS</v>
      </c>
    </row>
    <row r="43" customFormat="false" ht="15" hidden="false" customHeight="false" outlineLevel="0" collapsed="false">
      <c r="A43" s="6" t="s">
        <v>422</v>
      </c>
      <c r="B43" s="6" t="s">
        <v>400</v>
      </c>
      <c r="C43" s="6" t="s">
        <v>436</v>
      </c>
      <c r="D43" s="6" t="s">
        <v>450</v>
      </c>
      <c r="E43" s="6" t="s">
        <v>451</v>
      </c>
      <c r="F43" s="6" t="s">
        <v>445</v>
      </c>
      <c r="G43" s="10" t="n">
        <v>10.71</v>
      </c>
      <c r="H43" s="6" t="n">
        <v>4.5</v>
      </c>
      <c r="I43" s="6" t="s">
        <v>373</v>
      </c>
      <c r="J43" s="6" t="str">
        <f aca="false">IF(G43&gt;=H43,"PASS","FAIL")</f>
        <v>PASS</v>
      </c>
    </row>
    <row r="44" customFormat="false" ht="15" hidden="false" customHeight="false" outlineLevel="0" collapsed="false">
      <c r="A44" s="5"/>
      <c r="B44" s="5"/>
      <c r="C44" s="5"/>
      <c r="D44" s="5"/>
      <c r="E44" s="5"/>
      <c r="F44" s="5" t="s">
        <v>452</v>
      </c>
      <c r="G44" s="9" t="n">
        <f aca="false">MIN(G2:G43)</f>
        <v>4.36</v>
      </c>
      <c r="H44" s="5"/>
      <c r="I44" s="5" t="s">
        <v>453</v>
      </c>
      <c r="J44" s="5" t="str">
        <f aca="false">IF(COUNTIF(J2:J43,"FAIL")=0,"ALL PASS","FAILURES PRESENT")</f>
        <v>ALL PASS</v>
      </c>
    </row>
    <row r="45" customFormat="false" ht="32.8" hidden="false" customHeight="false" outlineLevel="0" collapsed="false">
      <c r="A45" s="6"/>
      <c r="B45" s="6"/>
      <c r="C45" s="6"/>
      <c r="D45" s="6"/>
      <c r="E45" s="6"/>
      <c r="F45" s="6" t="s">
        <v>454</v>
      </c>
      <c r="G45" s="10" t="s">
        <v>455</v>
      </c>
      <c r="H45" s="6"/>
      <c r="I45" s="6"/>
      <c r="J45" s="6" t="s">
        <v>456</v>
      </c>
    </row>
  </sheetData>
  <autoFilter ref="A1:J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2026-08-11T07:33:34Z</dcterms:created>
  <dc:creator>openpyxl</dc:creator>
  <dc:description/>
  <dc:language>en-US</dc:language>
  <cp:lastModifiedBy/>
  <dcterms:modified xsi:type="dcterms:W3CDTF">2026-08-11T07:33:34Z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